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gust 2026 Pull" sheetId="1" state="visible" r:id="rId3"/>
    <sheet name="Flagged + Re-ups" sheetId="2" state="visible" r:id="rId4"/>
  </sheets>
  <definedNames>
    <definedName function="false" hidden="true" localSheetId="0" name="_xlnm._FilterDatabase" vbProcedure="false">'August 2026 Pull'!$A$1:$O$44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<sst xmlns="http://schemas.openxmlformats.org/spreadsheetml/2006/main" count="364" uniqueCount="199">
  <si>
    <t xml:space="preserve">Rank</t>
  </si>
  <si>
    <t xml:space="preserve">Vertical</t>
  </si>
  <si>
    <t xml:space="preserve">Tier</t>
  </si>
  <si>
    <t xml:space="preserve">Headline</t>
  </si>
  <si>
    <t xml:space="preserve">Target keyword</t>
  </si>
  <si>
    <t xml:space="preserve">Secondaries</t>
  </si>
  <si>
    <t xml:space="preserve">Vol</t>
  </si>
  <si>
    <t xml:space="preserve">KD</t>
  </si>
  <si>
    <t xml:space="preserve">TP</t>
  </si>
  <si>
    <t xml:space="preserve">Recruit Rel (1-5)</t>
  </si>
  <si>
    <t xml:space="preserve">F/S Fit (1-5)</t>
  </si>
  <si>
    <t xml:space="preserve">Composite</t>
  </si>
  <si>
    <t xml:space="preserve">Format</t>
  </si>
  <si>
    <t xml:space="preserve">Source</t>
  </si>
  <si>
    <t xml:space="preserve">Notes</t>
  </si>
  <si>
    <t xml:space="preserve">IB</t>
  </si>
  <si>
    <t xml:space="preserve">S</t>
  </si>
  <si>
    <t xml:space="preserve">Centerview Partners: The Complete Career Guide</t>
  </si>
  <si>
    <t xml:space="preserve">centerview partners</t>
  </si>
  <si>
    <t xml:space="preserve">+salary 250/0, +careers 60/1, +analyst salary 40/0</t>
  </si>
  <si>
    <t xml:space="preserve">ultimate-guide</t>
  </si>
  <si>
    <t xml:space="preserve">August 2026 Ahrefs pull</t>
  </si>
  <si>
    <t xml:space="preserve">Biggest keyword in the pull. KD 0 at 4,700 vol. Firm-guide play like ZS/Antares. Fold `centerview partners email format` (150/0) into the GS cold-email piece.</t>
  </si>
  <si>
    <t xml:space="preserve">NET</t>
  </si>
  <si>
    <t xml:space="preserve">The Ultimate Guide to Coffee Chats in Finance Recruiting</t>
  </si>
  <si>
    <t xml:space="preserve">coffee chat</t>
  </si>
  <si>
    <t xml:space="preserve">+questions 600/0, +email template 250/0, +questions to ask 300/0, +what is 300/0</t>
  </si>
  <si>
    <t xml:space="preserve">Whole cluster is KD 0-1, ~3,900 combined vol. TP on subqueries up to 1,600. Some generic-professional dilution in head term; the cluster is pure recruiting.</t>
  </si>
  <si>
    <t xml:space="preserve">QT</t>
  </si>
  <si>
    <t xml:space="preserve">Jane Street Internship: How to Get In</t>
  </si>
  <si>
    <t xml:space="preserve">jane street internship</t>
  </si>
  <si>
    <t xml:space="preserve">+salary 300/0</t>
  </si>
  <si>
    <t xml:space="preserve">niche</t>
  </si>
  <si>
    <t xml:space="preserve">Anchor of the net-new quant vertical. KD 0 at 1,200 vol.</t>
  </si>
  <si>
    <t xml:space="preserve">CON</t>
  </si>
  <si>
    <t xml:space="preserve">Roland Berger Careers: How to Get Hired</t>
  </si>
  <si>
    <t xml:space="preserve">roland berger</t>
  </si>
  <si>
    <t xml:space="preserve">+careers 200/0, +consulting 200/12</t>
  </si>
  <si>
    <t xml:space="preserve">5,400 vol KD 5. Verify US undergrad pipeline (Chicago/Detroit/Boston offices) before drafting.</t>
  </si>
  <si>
    <t xml:space="preserve">Quant Trader Salary: What You Really Make</t>
  </si>
  <si>
    <t xml:space="preserve">quant trader salary</t>
  </si>
  <si>
    <t xml:space="preserve">Comp intent, KD 2. Pairs with the role explainer.</t>
  </si>
  <si>
    <t xml:space="preserve">Wells Fargo Sophomore Discovery Fellowship: How to Get In</t>
  </si>
  <si>
    <t xml:space="preserve">wells fargo sophomore discovery fellowship program</t>
  </si>
  <si>
    <t xml:space="preserve">Exact-match program query, KD 0. Extends the July sophomore cluster. TP is tiny; the exact-match intent is the value.</t>
  </si>
  <si>
    <t xml:space="preserve">Citadel LAUNCH Internship: How to Get In</t>
  </si>
  <si>
    <t xml:space="preserve">citadel launch internship</t>
  </si>
  <si>
    <t xml:space="preserve">Freshman/sophomore program. Internal-link the main Citadel piece.</t>
  </si>
  <si>
    <t xml:space="preserve">AM</t>
  </si>
  <si>
    <t xml:space="preserve">BlackRock Internship: How to Get In</t>
  </si>
  <si>
    <t xml:space="preserve">blackrock internship</t>
  </si>
  <si>
    <t xml:space="preserve">+summer 300/2, +sophomore 70/3, +acceptance rate 90/0</t>
  </si>
  <si>
    <t xml:space="preserve">Anchor of the net-new asset management vertical.</t>
  </si>
  <si>
    <t xml:space="preserve">Jane Street Insight: How to Get In</t>
  </si>
  <si>
    <t xml:space="preserve">jane street insight program</t>
  </si>
  <si>
    <t xml:space="preserve">Freshman-program variant; sophomore-cluster analog for quant.</t>
  </si>
  <si>
    <t xml:space="preserve">Oliver Wyman Salary Breakdown 2026</t>
  </si>
  <si>
    <t xml:space="preserve">oliver wyman consultant salary</t>
  </si>
  <si>
    <t xml:space="preserve">+oliver wyman salary 250/0, +partner 100/0, +entry level 80/0</t>
  </si>
  <si>
    <t xml:space="preserve">Salary family sums ~1,100 vol, all KD 0.</t>
  </si>
  <si>
    <t xml:space="preserve">A</t>
  </si>
  <si>
    <t xml:space="preserve">Hudson River Trading Internship: How to Get In</t>
  </si>
  <si>
    <t xml:space="preserve">hudson river trading internship</t>
  </si>
  <si>
    <t xml:space="preserve">KD 0. Quant cluster.</t>
  </si>
  <si>
    <t xml:space="preserve">PC</t>
  </si>
  <si>
    <t xml:space="preserve">Sixth Street Partners: The Complete Career Guide</t>
  </si>
  <si>
    <t xml:space="preserve">sixth street partners</t>
  </si>
  <si>
    <t xml:space="preserve">Private credit giant; same play as Antares (pending). Skip investor subqueries (lending partners, aum).</t>
  </si>
  <si>
    <t xml:space="preserve">Asset Management Analyst: Role, Pay, and Path</t>
  </si>
  <si>
    <t xml:space="preserve">asset management analyst</t>
  </si>
  <si>
    <t xml:space="preserve">+career path 150/1, +career 90/2, +analyst salary 80/0</t>
  </si>
  <si>
    <t xml:space="preserve">Role-guide umbrella for the AM vertical.</t>
  </si>
  <si>
    <t xml:space="preserve">PE</t>
  </si>
  <si>
    <t xml:space="preserve">KKR Internship: How to Get In</t>
  </si>
  <si>
    <t xml:space="preserve">kkr internship</t>
  </si>
  <si>
    <t xml:space="preserve">+summer 80/0</t>
  </si>
  <si>
    <t xml:space="preserve">KD 0. PE brand cluster.</t>
  </si>
  <si>
    <t xml:space="preserve">Jump Trading Internship: How to Get In</t>
  </si>
  <si>
    <t xml:space="preserve">jump trading internship</t>
  </si>
  <si>
    <t xml:space="preserve">Ares Management: The Complete Career Guide</t>
  </si>
  <si>
    <t xml:space="preserve">ares management careers</t>
  </si>
  <si>
    <t xml:space="preserve">KD 0. Private credit firm cluster.</t>
  </si>
  <si>
    <t xml:space="preserve">AlixPartners: The Complete Career Guide</t>
  </si>
  <si>
    <t xml:space="preserve">alixpartners</t>
  </si>
  <si>
    <t xml:space="preserve">+careers 200/0</t>
  </si>
  <si>
    <t xml:space="preserve">Turnaround/restructuring consulting; internal-links the RX vertical. TP 5,800.</t>
  </si>
  <si>
    <t xml:space="preserve">Oliver Wyman Internship: How to Get In</t>
  </si>
  <si>
    <t xml:space="preserve">oliver wyman internship</t>
  </si>
  <si>
    <t xml:space="preserve">+summer 90/0, +case interview 100/0</t>
  </si>
  <si>
    <t xml:space="preserve">Fold the case-interview variant in as a section.</t>
  </si>
  <si>
    <t xml:space="preserve">Fidelity Internship: How to Get In</t>
  </si>
  <si>
    <t xml:space="preserve">fidelity internship</t>
  </si>
  <si>
    <t xml:space="preserve">+investments 250/2, +summer 100/3</t>
  </si>
  <si>
    <t xml:space="preserve">AM vertical. Skip the high-school variant.</t>
  </si>
  <si>
    <t xml:space="preserve">Golub Capital: The Complete Career Guide</t>
  </si>
  <si>
    <t xml:space="preserve">golub capital careers</t>
  </si>
  <si>
    <t xml:space="preserve">+jobs 60/0</t>
  </si>
  <si>
    <t xml:space="preserve">KD 0. Mention the named Board Fellows program (80/1). Skip BDC/stock investor queries.</t>
  </si>
  <si>
    <t xml:space="preserve">Citadel Internship: How to Get In</t>
  </si>
  <si>
    <t xml:space="preserve">citadel internship</t>
  </si>
  <si>
    <t xml:space="preserve">Internal-link LAUNCH piece. 900 vol KD 6.</t>
  </si>
  <si>
    <t xml:space="preserve">Asset Management Internships: Where Undergrads Should Apply</t>
  </si>
  <si>
    <t xml:space="preserve">asset management internship</t>
  </si>
  <si>
    <t xml:space="preserve">listicle</t>
  </si>
  <si>
    <t xml:space="preserve">Umbrella listicle over BlackRock/Fidelity/Vanguard/Balyasny/UBS pieces.</t>
  </si>
  <si>
    <t xml:space="preserve">LEK Consulting: Careers, Salaries, and How to Get Hired</t>
  </si>
  <si>
    <t xml:space="preserve">lek consulting</t>
  </si>
  <si>
    <t xml:space="preserve">+salary 150/0, +careers 100/0</t>
  </si>
  <si>
    <t xml:space="preserve">Careers subquery TP 2,900. NOTE: lek consulting salary is already earmarked as a secondary of July's Big 4 salary umbrella — this career guide owns the firm keyword, the salary section links there.</t>
  </si>
  <si>
    <t xml:space="preserve">B</t>
  </si>
  <si>
    <t xml:space="preserve">Perella Weinberg Partners: The Complete Career Guide</t>
  </si>
  <si>
    <t xml:space="preserve">perella weinberg partners</t>
  </si>
  <si>
    <t xml:space="preserve">+careers 90/0</t>
  </si>
  <si>
    <t xml:space="preserve">EB firm guide; pairs with existing EB coverage.</t>
  </si>
  <si>
    <t xml:space="preserve">(fold into coffee chat guide as a section)</t>
  </si>
  <si>
    <t xml:space="preserve">investment banking networking events</t>
  </si>
  <si>
    <t xml:space="preserve">n/a</t>
  </si>
  <si>
    <t xml:space="preserve">Don't stand alone; secondary for the networking cluster.</t>
  </si>
  <si>
    <t xml:space="preserve">Quant Trader: What They Do and How to Become One</t>
  </si>
  <si>
    <t xml:space="preserve">what is a quant trader</t>
  </si>
  <si>
    <t xml:space="preserve">+quant trader 1100/20</t>
  </si>
  <si>
    <t xml:space="preserve">Score 3 explainer at KD 7 (clears the KD&lt;=10 bar). Career angle first per the skill.</t>
  </si>
  <si>
    <t xml:space="preserve">McKinsey Resume: What Actually Gets Interviews</t>
  </si>
  <si>
    <t xml:space="preserve">mckinsey resume</t>
  </si>
  <si>
    <t xml:space="preserve">+template 80/1</t>
  </si>
  <si>
    <t xml:space="preserve">Internal-link the shipped consulting resume guide.</t>
  </si>
  <si>
    <t xml:space="preserve">Private Credit Analyst: What the Job Actually Looks Like</t>
  </si>
  <si>
    <t xml:space="preserve">private credit analyst</t>
  </si>
  <si>
    <t xml:space="preserve">Coordinate: PC salary + PC jobs articles already shipped; this is the role guide.</t>
  </si>
  <si>
    <t xml:space="preserve">Lazard Internship: How to Get In</t>
  </si>
  <si>
    <t xml:space="preserve">lazard internship</t>
  </si>
  <si>
    <t xml:space="preserve">+summer 50/1</t>
  </si>
  <si>
    <t xml:space="preserve">Internal-link Lazard RX guide.</t>
  </si>
  <si>
    <t xml:space="preserve">Jefferies Internship: How to Get In</t>
  </si>
  <si>
    <t xml:space="preserve">jefferies internship</t>
  </si>
  <si>
    <t xml:space="preserve">+ib analyst salary 90/0, +ib salary 80/0</t>
  </si>
  <si>
    <t xml:space="preserve">Salary family adds ~170 vol at KD 0.</t>
  </si>
  <si>
    <t xml:space="preserve">Apollo Global Management Internship: How to Get In</t>
  </si>
  <si>
    <t xml:space="preserve">apollo global management internship</t>
  </si>
  <si>
    <t xml:space="preserve">TP 1,400 on 80 vol. KD 0.</t>
  </si>
  <si>
    <t xml:space="preserve">HF</t>
  </si>
  <si>
    <t xml:space="preserve">Balyasny Internship: How to Get In</t>
  </si>
  <si>
    <t xml:space="preserve">balyasny asset management internship</t>
  </si>
  <si>
    <t xml:space="preserve">KD 0. Multi-manager cluster with Point72/Millennium.</t>
  </si>
  <si>
    <t xml:space="preserve">15 Asset Management Interview Questions and How to Answer Them</t>
  </si>
  <si>
    <t xml:space="preserve">asset management interview questions</t>
  </si>
  <si>
    <t xml:space="preserve">KD 0.</t>
  </si>
  <si>
    <t xml:space="preserve">Blue Owl Capital: The Complete Career Guide</t>
  </si>
  <si>
    <t xml:space="preserve">blue owl capital careers</t>
  </si>
  <si>
    <t xml:space="preserve">KD 0. PC firm cluster.</t>
  </si>
  <si>
    <t xml:space="preserve">Bank of America Sophomore Summer Analyst: How to Get In</t>
  </si>
  <si>
    <t xml:space="preserve">bank of america sophomore summer analyst</t>
  </si>
  <si>
    <t xml:space="preserve">TP 9,600 — biggest TP in the pull. Sophomore cluster.</t>
  </si>
  <si>
    <t xml:space="preserve">Millennium Internship: How to Get In</t>
  </si>
  <si>
    <t xml:space="preserve">millennium management internship</t>
  </si>
  <si>
    <t xml:space="preserve">KD 0. Multi-manager cluster.</t>
  </si>
  <si>
    <t xml:space="preserve">20 Consulting Behavioral Interview Questions With Answers</t>
  </si>
  <si>
    <t xml:space="preserve">consulting behavioral interview questions</t>
  </si>
  <si>
    <t xml:space="preserve">Distinct from the shipped IB behavioral piece.</t>
  </si>
  <si>
    <t xml:space="preserve">Buy Side vs Sell Side: Which Analyst Seat Should You Pick?</t>
  </si>
  <si>
    <t xml:space="preserve">buy side vs sell side analyst</t>
  </si>
  <si>
    <t xml:space="preserve">+sell side vs buy side 60/1, +buy side analyst 100/0</t>
  </si>
  <si>
    <t xml:space="preserve">Comparison format per the skill.</t>
  </si>
  <si>
    <t xml:space="preserve">UBS Asset Management Internship: How to Get In</t>
  </si>
  <si>
    <t xml:space="preserve">ubs asset management internship</t>
  </si>
  <si>
    <t xml:space="preserve">TP 2,600 on 50 vol.</t>
  </si>
  <si>
    <t xml:space="preserve">Point72 Internship: How to Get In (Academy Guide)</t>
  </si>
  <si>
    <t xml:space="preserve">point72 internship</t>
  </si>
  <si>
    <t xml:space="preserve">Multi-manager cluster.</t>
  </si>
  <si>
    <t xml:space="preserve">Houlihan Lokey Internship: How to Get In</t>
  </si>
  <si>
    <t xml:space="preserve">houlihan lokey internship</t>
  </si>
  <si>
    <t xml:space="preserve">Internal-link the HL RX guide (shipped).</t>
  </si>
  <si>
    <t xml:space="preserve">C</t>
  </si>
  <si>
    <t xml:space="preserve">Vanguard Internship: How to Get In</t>
  </si>
  <si>
    <t xml:space="preserve">vanguard internship</t>
  </si>
  <si>
    <t xml:space="preserve">+college to corporate 90/0</t>
  </si>
  <si>
    <t xml:space="preserve">College-to-Corporate is the named program.</t>
  </si>
  <si>
    <t xml:space="preserve">Guggenheim Securities Internship: How to Get In</t>
  </si>
  <si>
    <t xml:space="preserve">guggenheim internship</t>
  </si>
  <si>
    <t xml:space="preserve">+summer 100/4</t>
  </si>
  <si>
    <t xml:space="preserve">SERP mixes with Guggenheim Museum internships; check SERP before committing.</t>
  </si>
  <si>
    <t xml:space="preserve">Type</t>
  </si>
  <si>
    <t xml:space="preserve">Why it's here / what to do</t>
  </si>
  <si>
    <t xml:space="preserve">Flagged</t>
  </si>
  <si>
    <t xml:space="preserve">what is prop trading</t>
  </si>
  <si>
    <t xml:space="preserve">SERP is retail funded-account content, not careers. Score 2-3 depending on framing. Needs Nikson's call on a career-angle reframe.</t>
  </si>
  <si>
    <t xml:space="preserve">quantitative trading (+what is, 1300/19)</t>
  </si>
  <si>
    <t xml:space="preserve">Fails the Score-3 KD&lt;=10 bar. Defer; revisit as the quant vertical's head term once the cluster indexes.</t>
  </si>
  <si>
    <t xml:space="preserve">blackstone internship (+summer 100/18)</t>
  </si>
  <si>
    <t xml:space="preserve">Brand matters, KD 19 doesn't. Ship after KD-0 PE pieces (KKR, Apollo) index.</t>
  </si>
  <si>
    <t xml:space="preserve">bain sophomore internship</t>
  </si>
  <si>
    <t xml:space="preserve">Composite 63, but completes the MBB sophomore set next to July's McKinsey/BCG picks. Strategic add.</t>
  </si>
  <si>
    <t xml:space="preserve">oaktree capital careers</t>
  </si>
  <si>
    <t xml:space="preserve">Composite 69. Only as a distressed-cluster tie-in to the RX vertical.</t>
  </si>
  <si>
    <t xml:space="preserve">Re-up</t>
  </si>
  <si>
    <t xml:space="preserve">superday (+investment banking superday 150/6)</t>
  </si>
  <si>
    <t xml:space="preserve">July list already has superday interview (rank 26). Fresh head-term data upgrades the case for one umbrella guide (~1,550 combined vol). Still unwritten.</t>
  </si>
  <si>
    <t xml:space="preserve">evercore internship (+salary family ~420 vol KD 0)</t>
  </si>
  <si>
    <t xml:space="preserve">'How to Get Into Evercore' has sat in the master sheet since March with no data. Now justified. Internal-link Evercore RX + interview-questions pieces.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</si>
</sst>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52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7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n">
        <v>4700</v>
      </c>
      <c r="H2" s="3" t="n">
        <v>0</v>
      </c>
      <c r="I2" s="3" t="n">
        <v>4000</v>
      </c>
      <c r="J2" s="2" t="n">
        <v>4</v>
      </c>
      <c r="K2" s="2" t="n">
        <v>4</v>
      </c>
      <c r="L2" s="3" t="n">
        <f aca="false">ROUND(G2/MAX(1,H2)*J2*(K2/5),0)</f>
        <v>15040</v>
      </c>
      <c r="M2" s="2" t="s">
        <v>20</v>
      </c>
      <c r="N2" s="2" t="s">
        <v>21</v>
      </c>
      <c r="O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 t="s">
        <v>16</v>
      </c>
      <c r="D3" s="2" t="s">
        <v>24</v>
      </c>
      <c r="E3" s="2" t="s">
        <v>25</v>
      </c>
      <c r="F3" s="2" t="s">
        <v>26</v>
      </c>
      <c r="G3" s="3" t="n">
        <v>2200</v>
      </c>
      <c r="H3" s="3" t="n">
        <v>1</v>
      </c>
      <c r="I3" s="3" t="n">
        <v>600</v>
      </c>
      <c r="J3" s="2" t="n">
        <v>4</v>
      </c>
      <c r="K3" s="2" t="n">
        <v>5</v>
      </c>
      <c r="L3" s="3" t="n">
        <f aca="false">ROUND(G3/MAX(1,H3)*J3*(K3/5),0)</f>
        <v>8800</v>
      </c>
      <c r="M3" s="2" t="s">
        <v>20</v>
      </c>
      <c r="N3" s="2" t="s">
        <v>21</v>
      </c>
      <c r="O3" s="2" t="s">
        <v>27</v>
      </c>
    </row>
    <row r="4" customFormat="false" ht="15" hidden="false" customHeight="false" outlineLevel="0" collapsed="false">
      <c r="A4" s="2" t="n">
        <v>3</v>
      </c>
      <c r="B4" s="2" t="s">
        <v>28</v>
      </c>
      <c r="C4" s="2" t="s">
        <v>16</v>
      </c>
      <c r="D4" s="2" t="s">
        <v>29</v>
      </c>
      <c r="E4" s="2" t="s">
        <v>30</v>
      </c>
      <c r="F4" s="2" t="s">
        <v>31</v>
      </c>
      <c r="G4" s="3" t="n">
        <v>1200</v>
      </c>
      <c r="H4" s="3" t="n">
        <v>0</v>
      </c>
      <c r="I4" s="3" t="n">
        <v>1900</v>
      </c>
      <c r="J4" s="2" t="n">
        <v>5</v>
      </c>
      <c r="K4" s="2" t="n">
        <v>4</v>
      </c>
      <c r="L4" s="3" t="n">
        <f aca="false">ROUND(G4/MAX(1,H4)*J4*(K4/5),0)</f>
        <v>4800</v>
      </c>
      <c r="M4" s="2" t="s">
        <v>32</v>
      </c>
      <c r="N4" s="2" t="s">
        <v>21</v>
      </c>
      <c r="O4" s="2" t="s">
        <v>33</v>
      </c>
    </row>
    <row r="5" customFormat="false" ht="15" hidden="false" customHeight="false" outlineLevel="0" collapsed="false">
      <c r="A5" s="2" t="n">
        <v>4</v>
      </c>
      <c r="B5" s="2" t="s">
        <v>34</v>
      </c>
      <c r="C5" s="2" t="s">
        <v>16</v>
      </c>
      <c r="D5" s="2" t="s">
        <v>35</v>
      </c>
      <c r="E5" s="2" t="s">
        <v>36</v>
      </c>
      <c r="F5" s="2" t="s">
        <v>37</v>
      </c>
      <c r="G5" s="3" t="n">
        <v>5400</v>
      </c>
      <c r="H5" s="3" t="n">
        <v>5</v>
      </c>
      <c r="I5" s="3" t="n">
        <v>3400</v>
      </c>
      <c r="J5" s="2" t="n">
        <v>4</v>
      </c>
      <c r="K5" s="2" t="n">
        <v>4</v>
      </c>
      <c r="L5" s="3" t="n">
        <f aca="false">ROUND(G5/MAX(1,H5)*J5*(K5/5),0)</f>
        <v>3456</v>
      </c>
      <c r="M5" s="2" t="s">
        <v>32</v>
      </c>
      <c r="N5" s="2" t="s">
        <v>21</v>
      </c>
      <c r="O5" s="2" t="s">
        <v>38</v>
      </c>
    </row>
    <row r="6" customFormat="false" ht="15" hidden="false" customHeight="false" outlineLevel="0" collapsed="false">
      <c r="A6" s="2" t="n">
        <v>5</v>
      </c>
      <c r="B6" s="2" t="s">
        <v>28</v>
      </c>
      <c r="C6" s="2" t="s">
        <v>16</v>
      </c>
      <c r="D6" s="2" t="s">
        <v>39</v>
      </c>
      <c r="E6" s="2" t="s">
        <v>40</v>
      </c>
      <c r="F6" s="2"/>
      <c r="G6" s="3" t="n">
        <v>1200</v>
      </c>
      <c r="H6" s="3" t="n">
        <v>2</v>
      </c>
      <c r="I6" s="3" t="n">
        <v>800</v>
      </c>
      <c r="J6" s="2" t="n">
        <v>4</v>
      </c>
      <c r="K6" s="2" t="n">
        <v>5</v>
      </c>
      <c r="L6" s="3" t="n">
        <f aca="false">ROUND(G6/MAX(1,H6)*J6*(K6/5),0)</f>
        <v>2400</v>
      </c>
      <c r="M6" s="2" t="s">
        <v>32</v>
      </c>
      <c r="N6" s="2" t="s">
        <v>21</v>
      </c>
      <c r="O6" s="2" t="s">
        <v>41</v>
      </c>
    </row>
    <row r="7" customFormat="false" ht="15" hidden="false" customHeight="false" outlineLevel="0" collapsed="false">
      <c r="A7" s="2" t="n">
        <v>6</v>
      </c>
      <c r="B7" s="2" t="s">
        <v>15</v>
      </c>
      <c r="C7" s="2" t="s">
        <v>16</v>
      </c>
      <c r="D7" s="2" t="s">
        <v>42</v>
      </c>
      <c r="E7" s="2" t="s">
        <v>43</v>
      </c>
      <c r="F7" s="2"/>
      <c r="G7" s="3" t="n">
        <v>400</v>
      </c>
      <c r="H7" s="3" t="n">
        <v>0</v>
      </c>
      <c r="I7" s="3" t="n">
        <v>10</v>
      </c>
      <c r="J7" s="2" t="n">
        <v>5</v>
      </c>
      <c r="K7" s="2" t="n">
        <v>5</v>
      </c>
      <c r="L7" s="3" t="n">
        <f aca="false">ROUND(G7/MAX(1,H7)*J7*(K7/5),0)</f>
        <v>2000</v>
      </c>
      <c r="M7" s="2" t="s">
        <v>32</v>
      </c>
      <c r="N7" s="2" t="s">
        <v>21</v>
      </c>
      <c r="O7" s="2" t="s">
        <v>44</v>
      </c>
    </row>
    <row r="8" customFormat="false" ht="15" hidden="false" customHeight="false" outlineLevel="0" collapsed="false">
      <c r="A8" s="2" t="n">
        <v>7</v>
      </c>
      <c r="B8" s="2" t="s">
        <v>28</v>
      </c>
      <c r="C8" s="2" t="s">
        <v>16</v>
      </c>
      <c r="D8" s="2" t="s">
        <v>45</v>
      </c>
      <c r="E8" s="2" t="s">
        <v>46</v>
      </c>
      <c r="F8" s="2"/>
      <c r="G8" s="3" t="n">
        <v>300</v>
      </c>
      <c r="H8" s="3" t="n">
        <v>0</v>
      </c>
      <c r="I8" s="3" t="n">
        <v>1300</v>
      </c>
      <c r="J8" s="2" t="n">
        <v>5</v>
      </c>
      <c r="K8" s="2" t="n">
        <v>5</v>
      </c>
      <c r="L8" s="3" t="n">
        <f aca="false">ROUND(G8/MAX(1,H8)*J8*(K8/5),0)</f>
        <v>1500</v>
      </c>
      <c r="M8" s="2" t="s">
        <v>32</v>
      </c>
      <c r="N8" s="2" t="s">
        <v>21</v>
      </c>
      <c r="O8" s="2" t="s">
        <v>47</v>
      </c>
    </row>
    <row r="9" customFormat="false" ht="15" hidden="false" customHeight="false" outlineLevel="0" collapsed="false">
      <c r="A9" s="2" t="n">
        <v>8</v>
      </c>
      <c r="B9" s="2" t="s">
        <v>48</v>
      </c>
      <c r="C9" s="2" t="s">
        <v>16</v>
      </c>
      <c r="D9" s="2" t="s">
        <v>49</v>
      </c>
      <c r="E9" s="2" t="s">
        <v>50</v>
      </c>
      <c r="F9" s="2" t="s">
        <v>51</v>
      </c>
      <c r="G9" s="3" t="n">
        <v>1000</v>
      </c>
      <c r="H9" s="3" t="n">
        <v>3</v>
      </c>
      <c r="I9" s="3" t="n">
        <v>1100</v>
      </c>
      <c r="J9" s="2" t="n">
        <v>5</v>
      </c>
      <c r="K9" s="2" t="n">
        <v>4</v>
      </c>
      <c r="L9" s="3" t="n">
        <f aca="false">ROUND(G9/MAX(1,H9)*J9*(K9/5),0)</f>
        <v>1333</v>
      </c>
      <c r="M9" s="2" t="s">
        <v>32</v>
      </c>
      <c r="N9" s="2" t="s">
        <v>21</v>
      </c>
      <c r="O9" s="2" t="s">
        <v>52</v>
      </c>
    </row>
    <row r="10" customFormat="false" ht="15" hidden="false" customHeight="false" outlineLevel="0" collapsed="false">
      <c r="A10" s="2" t="n">
        <v>9</v>
      </c>
      <c r="B10" s="2" t="s">
        <v>28</v>
      </c>
      <c r="C10" s="2" t="s">
        <v>16</v>
      </c>
      <c r="D10" s="2" t="s">
        <v>53</v>
      </c>
      <c r="E10" s="2" t="s">
        <v>54</v>
      </c>
      <c r="F10" s="2"/>
      <c r="G10" s="3" t="n">
        <v>250</v>
      </c>
      <c r="H10" s="3" t="n">
        <v>0</v>
      </c>
      <c r="I10" s="3" t="n">
        <v>300</v>
      </c>
      <c r="J10" s="2" t="n">
        <v>5</v>
      </c>
      <c r="K10" s="2" t="n">
        <v>5</v>
      </c>
      <c r="L10" s="3" t="n">
        <f aca="false">ROUND(G10/MAX(1,H10)*J10*(K10/5),0)</f>
        <v>1250</v>
      </c>
      <c r="M10" s="2" t="s">
        <v>32</v>
      </c>
      <c r="N10" s="2" t="s">
        <v>21</v>
      </c>
      <c r="O10" s="2" t="s">
        <v>55</v>
      </c>
    </row>
    <row r="11" customFormat="false" ht="15" hidden="false" customHeight="false" outlineLevel="0" collapsed="false">
      <c r="A11" s="2" t="n">
        <v>10</v>
      </c>
      <c r="B11" s="2" t="s">
        <v>34</v>
      </c>
      <c r="C11" s="2" t="s">
        <v>16</v>
      </c>
      <c r="D11" s="2" t="s">
        <v>56</v>
      </c>
      <c r="E11" s="2" t="s">
        <v>57</v>
      </c>
      <c r="F11" s="2" t="s">
        <v>58</v>
      </c>
      <c r="G11" s="3" t="n">
        <v>300</v>
      </c>
      <c r="H11" s="3" t="n">
        <v>0</v>
      </c>
      <c r="I11" s="3" t="n">
        <v>350</v>
      </c>
      <c r="J11" s="2" t="n">
        <v>4</v>
      </c>
      <c r="K11" s="2" t="n">
        <v>5</v>
      </c>
      <c r="L11" s="3" t="n">
        <f aca="false">ROUND(G11/MAX(1,H11)*J11*(K11/5),0)</f>
        <v>1200</v>
      </c>
      <c r="M11" s="2" t="s">
        <v>32</v>
      </c>
      <c r="N11" s="2" t="s">
        <v>21</v>
      </c>
      <c r="O11" s="2" t="s">
        <v>59</v>
      </c>
    </row>
    <row r="12" customFormat="false" ht="15" hidden="false" customHeight="false" outlineLevel="0" collapsed="false">
      <c r="A12" s="2" t="n">
        <v>11</v>
      </c>
      <c r="B12" s="2" t="s">
        <v>28</v>
      </c>
      <c r="C12" s="2" t="s">
        <v>60</v>
      </c>
      <c r="D12" s="2" t="s">
        <v>61</v>
      </c>
      <c r="E12" s="2" t="s">
        <v>62</v>
      </c>
      <c r="F12" s="2"/>
      <c r="G12" s="3" t="n">
        <v>250</v>
      </c>
      <c r="H12" s="3" t="n">
        <v>0</v>
      </c>
      <c r="I12" s="3" t="n">
        <v>350</v>
      </c>
      <c r="J12" s="2" t="n">
        <v>5</v>
      </c>
      <c r="K12" s="2" t="n">
        <v>4</v>
      </c>
      <c r="L12" s="3" t="n">
        <f aca="false">ROUND(G12/MAX(1,H12)*J12*(K12/5),0)</f>
        <v>1000</v>
      </c>
      <c r="M12" s="2" t="s">
        <v>32</v>
      </c>
      <c r="N12" s="2" t="s">
        <v>21</v>
      </c>
      <c r="O12" s="2" t="s">
        <v>63</v>
      </c>
    </row>
    <row r="13" customFormat="false" ht="15" hidden="false" customHeight="false" outlineLevel="0" collapsed="false">
      <c r="A13" s="2" t="n">
        <v>12</v>
      </c>
      <c r="B13" s="2" t="s">
        <v>64</v>
      </c>
      <c r="C13" s="2" t="s">
        <v>60</v>
      </c>
      <c r="D13" s="2" t="s">
        <v>65</v>
      </c>
      <c r="E13" s="2" t="s">
        <v>66</v>
      </c>
      <c r="F13" s="2"/>
      <c r="G13" s="3" t="n">
        <v>3300</v>
      </c>
      <c r="H13" s="3" t="n">
        <v>11</v>
      </c>
      <c r="I13" s="3" t="n">
        <v>3400</v>
      </c>
      <c r="J13" s="2" t="n">
        <v>4</v>
      </c>
      <c r="K13" s="2" t="n">
        <v>4</v>
      </c>
      <c r="L13" s="3" t="n">
        <f aca="false">ROUND(G13/MAX(1,H13)*J13*(K13/5),0)</f>
        <v>960</v>
      </c>
      <c r="M13" s="2" t="s">
        <v>20</v>
      </c>
      <c r="N13" s="2" t="s">
        <v>21</v>
      </c>
      <c r="O13" s="2" t="s">
        <v>67</v>
      </c>
    </row>
    <row r="14" customFormat="false" ht="15" hidden="false" customHeight="false" outlineLevel="0" collapsed="false">
      <c r="A14" s="2" t="n">
        <v>13</v>
      </c>
      <c r="B14" s="2" t="s">
        <v>48</v>
      </c>
      <c r="C14" s="2" t="s">
        <v>60</v>
      </c>
      <c r="D14" s="2" t="s">
        <v>68</v>
      </c>
      <c r="E14" s="2" t="s">
        <v>69</v>
      </c>
      <c r="F14" s="2" t="s">
        <v>70</v>
      </c>
      <c r="G14" s="3" t="n">
        <v>200</v>
      </c>
      <c r="H14" s="3" t="n">
        <v>1</v>
      </c>
      <c r="I14" s="3" t="n">
        <v>1200</v>
      </c>
      <c r="J14" s="2" t="n">
        <v>4</v>
      </c>
      <c r="K14" s="2" t="n">
        <v>5</v>
      </c>
      <c r="L14" s="3" t="n">
        <f aca="false">ROUND(G14/MAX(1,H14)*J14*(K14/5),0)</f>
        <v>800</v>
      </c>
      <c r="M14" s="2" t="s">
        <v>20</v>
      </c>
      <c r="N14" s="2" t="s">
        <v>21</v>
      </c>
      <c r="O14" s="2" t="s">
        <v>71</v>
      </c>
    </row>
    <row r="15" customFormat="false" ht="15" hidden="false" customHeight="false" outlineLevel="0" collapsed="false">
      <c r="A15" s="2" t="n">
        <v>14</v>
      </c>
      <c r="B15" s="2" t="s">
        <v>72</v>
      </c>
      <c r="C15" s="2" t="s">
        <v>60</v>
      </c>
      <c r="D15" s="2" t="s">
        <v>73</v>
      </c>
      <c r="E15" s="2" t="s">
        <v>74</v>
      </c>
      <c r="F15" s="2" t="s">
        <v>75</v>
      </c>
      <c r="G15" s="3" t="n">
        <v>200</v>
      </c>
      <c r="H15" s="3" t="n">
        <v>0</v>
      </c>
      <c r="I15" s="3" t="n">
        <v>500</v>
      </c>
      <c r="J15" s="2" t="n">
        <v>5</v>
      </c>
      <c r="K15" s="2" t="n">
        <v>4</v>
      </c>
      <c r="L15" s="3" t="n">
        <f aca="false">ROUND(G15/MAX(1,H15)*J15*(K15/5),0)</f>
        <v>800</v>
      </c>
      <c r="M15" s="2" t="s">
        <v>32</v>
      </c>
      <c r="N15" s="2" t="s">
        <v>21</v>
      </c>
      <c r="O15" s="2" t="s">
        <v>76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s">
        <v>60</v>
      </c>
      <c r="D16" s="2" t="s">
        <v>77</v>
      </c>
      <c r="E16" s="2" t="s">
        <v>78</v>
      </c>
      <c r="F16" s="2"/>
      <c r="G16" s="3" t="n">
        <v>200</v>
      </c>
      <c r="H16" s="3" t="n">
        <v>0</v>
      </c>
      <c r="I16" s="3" t="n">
        <v>350</v>
      </c>
      <c r="J16" s="2" t="n">
        <v>5</v>
      </c>
      <c r="K16" s="2" t="n">
        <v>4</v>
      </c>
      <c r="L16" s="3" t="n">
        <f aca="false">ROUND(G16/MAX(1,H16)*J16*(K16/5),0)</f>
        <v>800</v>
      </c>
      <c r="M16" s="2" t="s">
        <v>32</v>
      </c>
      <c r="N16" s="2" t="s">
        <v>21</v>
      </c>
      <c r="O16" s="2" t="s">
        <v>63</v>
      </c>
    </row>
    <row r="17" customFormat="false" ht="15" hidden="false" customHeight="false" outlineLevel="0" collapsed="false">
      <c r="A17" s="2" t="n">
        <v>16</v>
      </c>
      <c r="B17" s="2" t="s">
        <v>64</v>
      </c>
      <c r="C17" s="2" t="s">
        <v>60</v>
      </c>
      <c r="D17" s="2" t="s">
        <v>79</v>
      </c>
      <c r="E17" s="2" t="s">
        <v>80</v>
      </c>
      <c r="F17" s="2"/>
      <c r="G17" s="3" t="n">
        <v>250</v>
      </c>
      <c r="H17" s="3" t="n">
        <v>0</v>
      </c>
      <c r="I17" s="3" t="n">
        <v>200</v>
      </c>
      <c r="J17" s="2" t="n">
        <v>4</v>
      </c>
      <c r="K17" s="2" t="n">
        <v>4</v>
      </c>
      <c r="L17" s="3" t="n">
        <f aca="false">ROUND(G17/MAX(1,H17)*J17*(K17/5),0)</f>
        <v>800</v>
      </c>
      <c r="M17" s="2" t="s">
        <v>32</v>
      </c>
      <c r="N17" s="2" t="s">
        <v>21</v>
      </c>
      <c r="O17" s="2" t="s">
        <v>81</v>
      </c>
    </row>
    <row r="18" customFormat="false" ht="15" hidden="false" customHeight="false" outlineLevel="0" collapsed="false">
      <c r="A18" s="2" t="n">
        <v>17</v>
      </c>
      <c r="B18" s="2" t="s">
        <v>34</v>
      </c>
      <c r="C18" s="2" t="s">
        <v>60</v>
      </c>
      <c r="D18" s="2" t="s">
        <v>82</v>
      </c>
      <c r="E18" s="2" t="s">
        <v>83</v>
      </c>
      <c r="F18" s="2" t="s">
        <v>84</v>
      </c>
      <c r="G18" s="3" t="n">
        <v>3100</v>
      </c>
      <c r="H18" s="3" t="n">
        <v>13</v>
      </c>
      <c r="I18" s="3" t="n">
        <v>5800</v>
      </c>
      <c r="J18" s="2" t="n">
        <v>4</v>
      </c>
      <c r="K18" s="2" t="n">
        <v>4</v>
      </c>
      <c r="L18" s="3" t="n">
        <f aca="false">ROUND(G18/MAX(1,H18)*J18*(K18/5),0)</f>
        <v>763</v>
      </c>
      <c r="M18" s="2" t="s">
        <v>20</v>
      </c>
      <c r="N18" s="2" t="s">
        <v>21</v>
      </c>
      <c r="O18" s="2" t="s">
        <v>85</v>
      </c>
    </row>
    <row r="19" customFormat="false" ht="15" hidden="false" customHeight="false" outlineLevel="0" collapsed="false">
      <c r="A19" s="2" t="n">
        <v>18</v>
      </c>
      <c r="B19" s="2" t="s">
        <v>34</v>
      </c>
      <c r="C19" s="2" t="s">
        <v>60</v>
      </c>
      <c r="D19" s="2" t="s">
        <v>86</v>
      </c>
      <c r="E19" s="2" t="s">
        <v>87</v>
      </c>
      <c r="F19" s="2" t="s">
        <v>88</v>
      </c>
      <c r="G19" s="3" t="n">
        <v>350</v>
      </c>
      <c r="H19" s="3" t="n">
        <v>2</v>
      </c>
      <c r="I19" s="3" t="n">
        <v>700</v>
      </c>
      <c r="J19" s="2" t="n">
        <v>5</v>
      </c>
      <c r="K19" s="2" t="n">
        <v>4</v>
      </c>
      <c r="L19" s="3" t="n">
        <f aca="false">ROUND(G19/MAX(1,H19)*J19*(K19/5),0)</f>
        <v>700</v>
      </c>
      <c r="M19" s="2" t="s">
        <v>32</v>
      </c>
      <c r="N19" s="2" t="s">
        <v>21</v>
      </c>
      <c r="O19" s="2" t="s">
        <v>89</v>
      </c>
    </row>
    <row r="20" customFormat="false" ht="15" hidden="false" customHeight="false" outlineLevel="0" collapsed="false">
      <c r="A20" s="2" t="n">
        <v>19</v>
      </c>
      <c r="B20" s="2" t="s">
        <v>48</v>
      </c>
      <c r="C20" s="2" t="s">
        <v>60</v>
      </c>
      <c r="D20" s="2" t="s">
        <v>90</v>
      </c>
      <c r="E20" s="2" t="s">
        <v>91</v>
      </c>
      <c r="F20" s="2" t="s">
        <v>92</v>
      </c>
      <c r="G20" s="3" t="n">
        <v>500</v>
      </c>
      <c r="H20" s="3" t="n">
        <v>3</v>
      </c>
      <c r="I20" s="3" t="n">
        <v>1600</v>
      </c>
      <c r="J20" s="2" t="n">
        <v>5</v>
      </c>
      <c r="K20" s="2" t="n">
        <v>4</v>
      </c>
      <c r="L20" s="3" t="n">
        <f aca="false">ROUND(G20/MAX(1,H20)*J20*(K20/5),0)</f>
        <v>667</v>
      </c>
      <c r="M20" s="2" t="s">
        <v>32</v>
      </c>
      <c r="N20" s="2" t="s">
        <v>21</v>
      </c>
      <c r="O20" s="2" t="s">
        <v>93</v>
      </c>
    </row>
    <row r="21" customFormat="false" ht="15" hidden="false" customHeight="false" outlineLevel="0" collapsed="false">
      <c r="A21" s="2" t="n">
        <v>20</v>
      </c>
      <c r="B21" s="2" t="s">
        <v>64</v>
      </c>
      <c r="C21" s="2" t="s">
        <v>60</v>
      </c>
      <c r="D21" s="2" t="s">
        <v>94</v>
      </c>
      <c r="E21" s="2" t="s">
        <v>95</v>
      </c>
      <c r="F21" s="2" t="s">
        <v>96</v>
      </c>
      <c r="G21" s="3" t="n">
        <v>200</v>
      </c>
      <c r="H21" s="3" t="n">
        <v>0</v>
      </c>
      <c r="I21" s="3" t="n">
        <v>200</v>
      </c>
      <c r="J21" s="2" t="n">
        <v>4</v>
      </c>
      <c r="K21" s="2" t="n">
        <v>4</v>
      </c>
      <c r="L21" s="3" t="n">
        <f aca="false">ROUND(G21/MAX(1,H21)*J21*(K21/5),0)</f>
        <v>640</v>
      </c>
      <c r="M21" s="2" t="s">
        <v>32</v>
      </c>
      <c r="N21" s="2" t="s">
        <v>21</v>
      </c>
      <c r="O21" s="2" t="s">
        <v>97</v>
      </c>
    </row>
    <row r="22" customFormat="false" ht="15" hidden="false" customHeight="false" outlineLevel="0" collapsed="false">
      <c r="A22" s="2" t="n">
        <v>21</v>
      </c>
      <c r="B22" s="2" t="s">
        <v>28</v>
      </c>
      <c r="C22" s="2" t="s">
        <v>60</v>
      </c>
      <c r="D22" s="2" t="s">
        <v>98</v>
      </c>
      <c r="E22" s="2" t="s">
        <v>99</v>
      </c>
      <c r="F22" s="2"/>
      <c r="G22" s="3" t="n">
        <v>900</v>
      </c>
      <c r="H22" s="3" t="n">
        <v>6</v>
      </c>
      <c r="I22" s="3" t="n">
        <v>1200</v>
      </c>
      <c r="J22" s="2" t="n">
        <v>5</v>
      </c>
      <c r="K22" s="2" t="n">
        <v>4</v>
      </c>
      <c r="L22" s="3" t="n">
        <f aca="false">ROUND(G22/MAX(1,H22)*J22*(K22/5),0)</f>
        <v>600</v>
      </c>
      <c r="M22" s="2" t="s">
        <v>32</v>
      </c>
      <c r="N22" s="2" t="s">
        <v>21</v>
      </c>
      <c r="O22" s="2" t="s">
        <v>100</v>
      </c>
    </row>
    <row r="23" customFormat="false" ht="15" hidden="false" customHeight="false" outlineLevel="0" collapsed="false">
      <c r="A23" s="2" t="n">
        <v>22</v>
      </c>
      <c r="B23" s="2" t="s">
        <v>48</v>
      </c>
      <c r="C23" s="2" t="s">
        <v>60</v>
      </c>
      <c r="D23" s="2" t="s">
        <v>101</v>
      </c>
      <c r="E23" s="2" t="s">
        <v>102</v>
      </c>
      <c r="F23" s="2"/>
      <c r="G23" s="3" t="n">
        <v>150</v>
      </c>
      <c r="H23" s="3" t="n">
        <v>1</v>
      </c>
      <c r="I23" s="3" t="n">
        <v>250</v>
      </c>
      <c r="J23" s="2" t="n">
        <v>5</v>
      </c>
      <c r="K23" s="2" t="n">
        <v>4</v>
      </c>
      <c r="L23" s="3" t="n">
        <f aca="false">ROUND(G23/MAX(1,H23)*J23*(K23/5),0)</f>
        <v>600</v>
      </c>
      <c r="M23" s="2" t="s">
        <v>103</v>
      </c>
      <c r="N23" s="2" t="s">
        <v>21</v>
      </c>
      <c r="O23" s="2" t="s">
        <v>104</v>
      </c>
    </row>
    <row r="24" customFormat="false" ht="15" hidden="false" customHeight="false" outlineLevel="0" collapsed="false">
      <c r="A24" s="2" t="n">
        <v>23</v>
      </c>
      <c r="B24" s="2" t="s">
        <v>34</v>
      </c>
      <c r="C24" s="2" t="s">
        <v>60</v>
      </c>
      <c r="D24" s="2" t="s">
        <v>105</v>
      </c>
      <c r="E24" s="2" t="s">
        <v>106</v>
      </c>
      <c r="F24" s="2" t="s">
        <v>107</v>
      </c>
      <c r="G24" s="3" t="n">
        <v>2100</v>
      </c>
      <c r="H24" s="3" t="n">
        <v>12</v>
      </c>
      <c r="I24" s="3" t="n">
        <v>3200</v>
      </c>
      <c r="J24" s="2" t="n">
        <v>4</v>
      </c>
      <c r="K24" s="2" t="n">
        <v>4</v>
      </c>
      <c r="L24" s="3" t="n">
        <f aca="false">ROUND(G24/MAX(1,H24)*J24*(K24/5),0)</f>
        <v>560</v>
      </c>
      <c r="M24" s="2" t="s">
        <v>20</v>
      </c>
      <c r="N24" s="2" t="s">
        <v>21</v>
      </c>
      <c r="O24" s="2" t="s">
        <v>108</v>
      </c>
    </row>
    <row r="25" customFormat="false" ht="15" hidden="false" customHeight="false" outlineLevel="0" collapsed="false">
      <c r="A25" s="2" t="n">
        <v>24</v>
      </c>
      <c r="B25" s="2" t="s">
        <v>15</v>
      </c>
      <c r="C25" s="2" t="s">
        <v>109</v>
      </c>
      <c r="D25" s="2" t="s">
        <v>110</v>
      </c>
      <c r="E25" s="2" t="s">
        <v>111</v>
      </c>
      <c r="F25" s="2" t="s">
        <v>112</v>
      </c>
      <c r="G25" s="3" t="n">
        <v>1700</v>
      </c>
      <c r="H25" s="3" t="n">
        <v>11</v>
      </c>
      <c r="I25" s="3" t="n">
        <v>3000</v>
      </c>
      <c r="J25" s="2" t="n">
        <v>4</v>
      </c>
      <c r="K25" s="2" t="n">
        <v>4</v>
      </c>
      <c r="L25" s="3" t="n">
        <f aca="false">ROUND(G25/MAX(1,H25)*J25*(K25/5),0)</f>
        <v>495</v>
      </c>
      <c r="M25" s="2" t="s">
        <v>32</v>
      </c>
      <c r="N25" s="2" t="s">
        <v>21</v>
      </c>
      <c r="O25" s="2" t="s">
        <v>113</v>
      </c>
    </row>
    <row r="26" customFormat="false" ht="15" hidden="false" customHeight="false" outlineLevel="0" collapsed="false">
      <c r="A26" s="2" t="n">
        <v>25</v>
      </c>
      <c r="B26" s="2" t="s">
        <v>23</v>
      </c>
      <c r="C26" s="2" t="s">
        <v>109</v>
      </c>
      <c r="D26" s="2" t="s">
        <v>114</v>
      </c>
      <c r="E26" s="2" t="s">
        <v>115</v>
      </c>
      <c r="F26" s="2"/>
      <c r="G26" s="3" t="n">
        <v>150</v>
      </c>
      <c r="H26" s="3" t="n">
        <v>0</v>
      </c>
      <c r="I26" s="3" t="n">
        <v>60</v>
      </c>
      <c r="J26" s="2" t="n">
        <v>4</v>
      </c>
      <c r="K26" s="2" t="n">
        <v>4</v>
      </c>
      <c r="L26" s="3" t="n">
        <f aca="false">ROUND(G26/MAX(1,H26)*J26*(K26/5),0)</f>
        <v>480</v>
      </c>
      <c r="M26" s="2" t="s">
        <v>116</v>
      </c>
      <c r="N26" s="2" t="s">
        <v>21</v>
      </c>
      <c r="O26" s="2" t="s">
        <v>117</v>
      </c>
    </row>
    <row r="27" customFormat="false" ht="15" hidden="false" customHeight="false" outlineLevel="0" collapsed="false">
      <c r="A27" s="2" t="n">
        <v>26</v>
      </c>
      <c r="B27" s="2" t="s">
        <v>28</v>
      </c>
      <c r="C27" s="2" t="s">
        <v>109</v>
      </c>
      <c r="D27" s="2" t="s">
        <v>118</v>
      </c>
      <c r="E27" s="2" t="s">
        <v>119</v>
      </c>
      <c r="F27" s="2" t="s">
        <v>120</v>
      </c>
      <c r="G27" s="3" t="n">
        <v>1100</v>
      </c>
      <c r="H27" s="3" t="n">
        <v>7</v>
      </c>
      <c r="I27" s="3" t="n">
        <v>3300</v>
      </c>
      <c r="J27" s="2" t="n">
        <v>3</v>
      </c>
      <c r="K27" s="2" t="n">
        <v>5</v>
      </c>
      <c r="L27" s="3" t="n">
        <f aca="false">ROUND(G27/MAX(1,H27)*J27*(K27/5),0)</f>
        <v>471</v>
      </c>
      <c r="M27" s="2" t="s">
        <v>20</v>
      </c>
      <c r="N27" s="2" t="s">
        <v>21</v>
      </c>
      <c r="O27" s="2" t="s">
        <v>121</v>
      </c>
    </row>
    <row r="28" customFormat="false" ht="15" hidden="false" customHeight="false" outlineLevel="0" collapsed="false">
      <c r="A28" s="2" t="n">
        <v>27</v>
      </c>
      <c r="B28" s="2" t="s">
        <v>34</v>
      </c>
      <c r="C28" s="2" t="s">
        <v>109</v>
      </c>
      <c r="D28" s="2" t="s">
        <v>122</v>
      </c>
      <c r="E28" s="2" t="s">
        <v>123</v>
      </c>
      <c r="F28" s="2" t="s">
        <v>124</v>
      </c>
      <c r="G28" s="3" t="n">
        <v>150</v>
      </c>
      <c r="H28" s="3" t="n">
        <v>0</v>
      </c>
      <c r="I28" s="3" t="n">
        <v>100</v>
      </c>
      <c r="J28" s="2" t="n">
        <v>5</v>
      </c>
      <c r="K28" s="2" t="n">
        <v>3</v>
      </c>
      <c r="L28" s="3" t="n">
        <f aca="false">ROUND(G28/MAX(1,H28)*J28*(K28/5),0)</f>
        <v>450</v>
      </c>
      <c r="M28" s="2" t="s">
        <v>32</v>
      </c>
      <c r="N28" s="2" t="s">
        <v>21</v>
      </c>
      <c r="O28" s="2" t="s">
        <v>125</v>
      </c>
    </row>
    <row r="29" customFormat="false" ht="15" hidden="false" customHeight="false" outlineLevel="0" collapsed="false">
      <c r="A29" s="2" t="n">
        <v>28</v>
      </c>
      <c r="B29" s="2" t="s">
        <v>64</v>
      </c>
      <c r="C29" s="2" t="s">
        <v>109</v>
      </c>
      <c r="D29" s="2" t="s">
        <v>126</v>
      </c>
      <c r="E29" s="2" t="s">
        <v>127</v>
      </c>
      <c r="F29" s="2"/>
      <c r="G29" s="3" t="n">
        <v>100</v>
      </c>
      <c r="H29" s="3" t="n">
        <v>0</v>
      </c>
      <c r="I29" s="3" t="n">
        <v>40</v>
      </c>
      <c r="J29" s="2" t="n">
        <v>4</v>
      </c>
      <c r="K29" s="2" t="n">
        <v>5</v>
      </c>
      <c r="L29" s="3" t="n">
        <f aca="false">ROUND(G29/MAX(1,H29)*J29*(K29/5),0)</f>
        <v>400</v>
      </c>
      <c r="M29" s="2" t="s">
        <v>32</v>
      </c>
      <c r="N29" s="2" t="s">
        <v>21</v>
      </c>
      <c r="O29" s="2" t="s">
        <v>128</v>
      </c>
    </row>
    <row r="30" customFormat="false" ht="15" hidden="false" customHeight="false" outlineLevel="0" collapsed="false">
      <c r="A30" s="2" t="n">
        <v>29</v>
      </c>
      <c r="B30" s="2" t="s">
        <v>15</v>
      </c>
      <c r="C30" s="2" t="s">
        <v>109</v>
      </c>
      <c r="D30" s="2" t="s">
        <v>129</v>
      </c>
      <c r="E30" s="2" t="s">
        <v>130</v>
      </c>
      <c r="F30" s="2" t="s">
        <v>131</v>
      </c>
      <c r="G30" s="3" t="n">
        <v>90</v>
      </c>
      <c r="H30" s="3" t="n">
        <v>1</v>
      </c>
      <c r="I30" s="3" t="n">
        <v>150</v>
      </c>
      <c r="J30" s="2" t="n">
        <v>5</v>
      </c>
      <c r="K30" s="2" t="n">
        <v>4</v>
      </c>
      <c r="L30" s="3" t="n">
        <f aca="false">ROUND(G30/MAX(1,H30)*J30*(K30/5),0)</f>
        <v>360</v>
      </c>
      <c r="M30" s="2" t="s">
        <v>32</v>
      </c>
      <c r="N30" s="2" t="s">
        <v>21</v>
      </c>
      <c r="O30" s="2" t="s">
        <v>132</v>
      </c>
    </row>
    <row r="31" customFormat="false" ht="15" hidden="false" customHeight="false" outlineLevel="0" collapsed="false">
      <c r="A31" s="2" t="n">
        <v>30</v>
      </c>
      <c r="B31" s="2" t="s">
        <v>15</v>
      </c>
      <c r="C31" s="2" t="s">
        <v>109</v>
      </c>
      <c r="D31" s="2" t="s">
        <v>133</v>
      </c>
      <c r="E31" s="2" t="s">
        <v>134</v>
      </c>
      <c r="F31" s="2" t="s">
        <v>135</v>
      </c>
      <c r="G31" s="3" t="n">
        <v>90</v>
      </c>
      <c r="H31" s="3" t="n">
        <v>0</v>
      </c>
      <c r="I31" s="3" t="n">
        <v>150</v>
      </c>
      <c r="J31" s="2" t="n">
        <v>5</v>
      </c>
      <c r="K31" s="2" t="n">
        <v>4</v>
      </c>
      <c r="L31" s="3" t="n">
        <f aca="false">ROUND(G31/MAX(1,H31)*J31*(K31/5),0)</f>
        <v>360</v>
      </c>
      <c r="M31" s="2" t="s">
        <v>32</v>
      </c>
      <c r="N31" s="2" t="s">
        <v>21</v>
      </c>
      <c r="O31" s="2" t="s">
        <v>136</v>
      </c>
    </row>
    <row r="32" customFormat="false" ht="15" hidden="false" customHeight="false" outlineLevel="0" collapsed="false">
      <c r="A32" s="2" t="n">
        <v>31</v>
      </c>
      <c r="B32" s="2" t="s">
        <v>72</v>
      </c>
      <c r="C32" s="2" t="s">
        <v>109</v>
      </c>
      <c r="D32" s="2" t="s">
        <v>137</v>
      </c>
      <c r="E32" s="2" t="s">
        <v>138</v>
      </c>
      <c r="F32" s="2"/>
      <c r="G32" s="3" t="n">
        <v>80</v>
      </c>
      <c r="H32" s="3" t="n">
        <v>0</v>
      </c>
      <c r="I32" s="3" t="n">
        <v>1400</v>
      </c>
      <c r="J32" s="2" t="n">
        <v>5</v>
      </c>
      <c r="K32" s="2" t="n">
        <v>4</v>
      </c>
      <c r="L32" s="3" t="n">
        <f aca="false">ROUND(G32/MAX(1,H32)*J32*(K32/5),0)</f>
        <v>320</v>
      </c>
      <c r="M32" s="2" t="s">
        <v>32</v>
      </c>
      <c r="N32" s="2" t="s">
        <v>21</v>
      </c>
      <c r="O32" s="2" t="s">
        <v>139</v>
      </c>
    </row>
    <row r="33" customFormat="false" ht="15" hidden="false" customHeight="false" outlineLevel="0" collapsed="false">
      <c r="A33" s="2" t="n">
        <v>32</v>
      </c>
      <c r="B33" s="2" t="s">
        <v>140</v>
      </c>
      <c r="C33" s="2" t="s">
        <v>109</v>
      </c>
      <c r="D33" s="2" t="s">
        <v>141</v>
      </c>
      <c r="E33" s="2" t="s">
        <v>142</v>
      </c>
      <c r="F33" s="2"/>
      <c r="G33" s="3" t="n">
        <v>80</v>
      </c>
      <c r="H33" s="3" t="n">
        <v>0</v>
      </c>
      <c r="I33" s="3" t="n">
        <v>100</v>
      </c>
      <c r="J33" s="2" t="n">
        <v>5</v>
      </c>
      <c r="K33" s="2" t="n">
        <v>4</v>
      </c>
      <c r="L33" s="3" t="n">
        <f aca="false">ROUND(G33/MAX(1,H33)*J33*(K33/5),0)</f>
        <v>320</v>
      </c>
      <c r="M33" s="2" t="s">
        <v>32</v>
      </c>
      <c r="N33" s="2" t="s">
        <v>21</v>
      </c>
      <c r="O33" s="2" t="s">
        <v>143</v>
      </c>
    </row>
    <row r="34" customFormat="false" ht="15" hidden="false" customHeight="false" outlineLevel="0" collapsed="false">
      <c r="A34" s="2" t="n">
        <v>33</v>
      </c>
      <c r="B34" s="2" t="s">
        <v>48</v>
      </c>
      <c r="C34" s="2" t="s">
        <v>109</v>
      </c>
      <c r="D34" s="2" t="s">
        <v>144</v>
      </c>
      <c r="E34" s="2" t="s">
        <v>145</v>
      </c>
      <c r="F34" s="2"/>
      <c r="G34" s="3" t="n">
        <v>90</v>
      </c>
      <c r="H34" s="3" t="n">
        <v>0</v>
      </c>
      <c r="I34" s="3" t="n">
        <v>300</v>
      </c>
      <c r="J34" s="2" t="n">
        <v>5</v>
      </c>
      <c r="K34" s="2" t="n">
        <v>3</v>
      </c>
      <c r="L34" s="3" t="n">
        <f aca="false">ROUND(G34/MAX(1,H34)*J34*(K34/5),0)</f>
        <v>270</v>
      </c>
      <c r="M34" s="2" t="s">
        <v>103</v>
      </c>
      <c r="N34" s="2" t="s">
        <v>21</v>
      </c>
      <c r="O34" s="2" t="s">
        <v>146</v>
      </c>
    </row>
    <row r="35" customFormat="false" ht="15" hidden="false" customHeight="false" outlineLevel="0" collapsed="false">
      <c r="A35" s="2" t="n">
        <v>34</v>
      </c>
      <c r="B35" s="2" t="s">
        <v>64</v>
      </c>
      <c r="C35" s="2" t="s">
        <v>109</v>
      </c>
      <c r="D35" s="2" t="s">
        <v>147</v>
      </c>
      <c r="E35" s="2" t="s">
        <v>148</v>
      </c>
      <c r="F35" s="2"/>
      <c r="G35" s="3" t="n">
        <v>80</v>
      </c>
      <c r="H35" s="3" t="n">
        <v>0</v>
      </c>
      <c r="I35" s="3" t="n">
        <v>200</v>
      </c>
      <c r="J35" s="2" t="n">
        <v>4</v>
      </c>
      <c r="K35" s="2" t="n">
        <v>4</v>
      </c>
      <c r="L35" s="3" t="n">
        <f aca="false">ROUND(G35/MAX(1,H35)*J35*(K35/5),0)</f>
        <v>256</v>
      </c>
      <c r="M35" s="2" t="s">
        <v>32</v>
      </c>
      <c r="N35" s="2" t="s">
        <v>21</v>
      </c>
      <c r="O35" s="2" t="s">
        <v>149</v>
      </c>
    </row>
    <row r="36" customFormat="false" ht="15" hidden="false" customHeight="false" outlineLevel="0" collapsed="false">
      <c r="A36" s="2" t="n">
        <v>35</v>
      </c>
      <c r="B36" s="2" t="s">
        <v>15</v>
      </c>
      <c r="C36" s="2" t="s">
        <v>109</v>
      </c>
      <c r="D36" s="2" t="s">
        <v>150</v>
      </c>
      <c r="E36" s="2" t="s">
        <v>151</v>
      </c>
      <c r="F36" s="2"/>
      <c r="G36" s="3" t="n">
        <v>100</v>
      </c>
      <c r="H36" s="3" t="n">
        <v>2</v>
      </c>
      <c r="I36" s="3" t="n">
        <v>9600</v>
      </c>
      <c r="J36" s="2" t="n">
        <v>5</v>
      </c>
      <c r="K36" s="2" t="n">
        <v>5</v>
      </c>
      <c r="L36" s="3" t="n">
        <f aca="false">ROUND(G36/MAX(1,H36)*J36*(K36/5),0)</f>
        <v>250</v>
      </c>
      <c r="M36" s="2" t="s">
        <v>32</v>
      </c>
      <c r="N36" s="2" t="s">
        <v>21</v>
      </c>
      <c r="O36" s="2" t="s">
        <v>152</v>
      </c>
    </row>
    <row r="37" customFormat="false" ht="15" hidden="false" customHeight="false" outlineLevel="0" collapsed="false">
      <c r="A37" s="2" t="n">
        <v>36</v>
      </c>
      <c r="B37" s="2" t="s">
        <v>140</v>
      </c>
      <c r="C37" s="2" t="s">
        <v>109</v>
      </c>
      <c r="D37" s="2" t="s">
        <v>153</v>
      </c>
      <c r="E37" s="2" t="s">
        <v>154</v>
      </c>
      <c r="F37" s="2"/>
      <c r="G37" s="3" t="n">
        <v>60</v>
      </c>
      <c r="H37" s="3" t="n">
        <v>0</v>
      </c>
      <c r="I37" s="3" t="n">
        <v>100</v>
      </c>
      <c r="J37" s="2" t="n">
        <v>5</v>
      </c>
      <c r="K37" s="2" t="n">
        <v>4</v>
      </c>
      <c r="L37" s="3" t="n">
        <f aca="false">ROUND(G37/MAX(1,H37)*J37*(K37/5),0)</f>
        <v>240</v>
      </c>
      <c r="M37" s="2" t="s">
        <v>32</v>
      </c>
      <c r="N37" s="2" t="s">
        <v>21</v>
      </c>
      <c r="O37" s="2" t="s">
        <v>155</v>
      </c>
    </row>
    <row r="38" customFormat="false" ht="15" hidden="false" customHeight="false" outlineLevel="0" collapsed="false">
      <c r="A38" s="2" t="n">
        <v>37</v>
      </c>
      <c r="B38" s="2" t="s">
        <v>34</v>
      </c>
      <c r="C38" s="2" t="s">
        <v>109</v>
      </c>
      <c r="D38" s="2" t="s">
        <v>156</v>
      </c>
      <c r="E38" s="2" t="s">
        <v>157</v>
      </c>
      <c r="F38" s="2"/>
      <c r="G38" s="3" t="n">
        <v>150</v>
      </c>
      <c r="H38" s="3" t="n">
        <v>2</v>
      </c>
      <c r="I38" s="3" t="n">
        <v>150</v>
      </c>
      <c r="J38" s="2" t="n">
        <v>5</v>
      </c>
      <c r="K38" s="2" t="n">
        <v>3</v>
      </c>
      <c r="L38" s="3" t="n">
        <f aca="false">ROUND(G38/MAX(1,H38)*J38*(K38/5),0)</f>
        <v>225</v>
      </c>
      <c r="M38" s="2" t="s">
        <v>103</v>
      </c>
      <c r="N38" s="2" t="s">
        <v>21</v>
      </c>
      <c r="O38" s="2" t="s">
        <v>158</v>
      </c>
    </row>
    <row r="39" customFormat="false" ht="15" hidden="false" customHeight="false" outlineLevel="0" collapsed="false">
      <c r="A39" s="2" t="n">
        <v>38</v>
      </c>
      <c r="B39" s="2" t="s">
        <v>48</v>
      </c>
      <c r="C39" s="2" t="s">
        <v>109</v>
      </c>
      <c r="D39" s="2" t="s">
        <v>159</v>
      </c>
      <c r="E39" s="2" t="s">
        <v>160</v>
      </c>
      <c r="F39" s="2" t="s">
        <v>161</v>
      </c>
      <c r="G39" s="3" t="n">
        <v>100</v>
      </c>
      <c r="H39" s="3" t="n">
        <v>2</v>
      </c>
      <c r="I39" s="3" t="n">
        <v>500</v>
      </c>
      <c r="J39" s="2" t="n">
        <v>4</v>
      </c>
      <c r="K39" s="2" t="n">
        <v>5</v>
      </c>
      <c r="L39" s="3" t="n">
        <f aca="false">ROUND(G39/MAX(1,H39)*J39*(K39/5),0)</f>
        <v>200</v>
      </c>
      <c r="M39" s="2" t="s">
        <v>32</v>
      </c>
      <c r="N39" s="2" t="s">
        <v>21</v>
      </c>
      <c r="O39" s="2" t="s">
        <v>162</v>
      </c>
    </row>
    <row r="40" customFormat="false" ht="15" hidden="false" customHeight="false" outlineLevel="0" collapsed="false">
      <c r="A40" s="2" t="n">
        <v>39</v>
      </c>
      <c r="B40" s="2" t="s">
        <v>48</v>
      </c>
      <c r="C40" s="2" t="s">
        <v>109</v>
      </c>
      <c r="D40" s="2" t="s">
        <v>163</v>
      </c>
      <c r="E40" s="2" t="s">
        <v>164</v>
      </c>
      <c r="F40" s="2"/>
      <c r="G40" s="3" t="n">
        <v>50</v>
      </c>
      <c r="H40" s="3" t="n">
        <v>0</v>
      </c>
      <c r="I40" s="3" t="n">
        <v>2600</v>
      </c>
      <c r="J40" s="2" t="n">
        <v>5</v>
      </c>
      <c r="K40" s="2" t="n">
        <v>4</v>
      </c>
      <c r="L40" s="3" t="n">
        <f aca="false">ROUND(G40/MAX(1,H40)*J40*(K40/5),0)</f>
        <v>200</v>
      </c>
      <c r="M40" s="2" t="s">
        <v>32</v>
      </c>
      <c r="N40" s="2" t="s">
        <v>21</v>
      </c>
      <c r="O40" s="2" t="s">
        <v>165</v>
      </c>
    </row>
    <row r="41" customFormat="false" ht="15" hidden="false" customHeight="false" outlineLevel="0" collapsed="false">
      <c r="A41" s="2" t="n">
        <v>40</v>
      </c>
      <c r="B41" s="2" t="s">
        <v>140</v>
      </c>
      <c r="C41" s="2" t="s">
        <v>109</v>
      </c>
      <c r="D41" s="2" t="s">
        <v>166</v>
      </c>
      <c r="E41" s="2" t="s">
        <v>167</v>
      </c>
      <c r="F41" s="2"/>
      <c r="G41" s="3" t="n">
        <v>150</v>
      </c>
      <c r="H41" s="3" t="n">
        <v>3</v>
      </c>
      <c r="I41" s="3" t="n">
        <v>200</v>
      </c>
      <c r="J41" s="2" t="n">
        <v>5</v>
      </c>
      <c r="K41" s="2" t="n">
        <v>4</v>
      </c>
      <c r="L41" s="3" t="n">
        <f aca="false">ROUND(G41/MAX(1,H41)*J41*(K41/5),0)</f>
        <v>200</v>
      </c>
      <c r="M41" s="2" t="s">
        <v>32</v>
      </c>
      <c r="N41" s="2" t="s">
        <v>21</v>
      </c>
      <c r="O41" s="2" t="s">
        <v>168</v>
      </c>
    </row>
    <row r="42" customFormat="false" ht="15" hidden="false" customHeight="false" outlineLevel="0" collapsed="false">
      <c r="A42" s="2" t="n">
        <v>41</v>
      </c>
      <c r="B42" s="2" t="s">
        <v>15</v>
      </c>
      <c r="C42" s="2" t="s">
        <v>109</v>
      </c>
      <c r="D42" s="2" t="s">
        <v>169</v>
      </c>
      <c r="E42" s="2" t="s">
        <v>170</v>
      </c>
      <c r="F42" s="2"/>
      <c r="G42" s="3" t="n">
        <v>150</v>
      </c>
      <c r="H42" s="3" t="n">
        <v>3</v>
      </c>
      <c r="I42" s="3" t="n">
        <v>250</v>
      </c>
      <c r="J42" s="2" t="n">
        <v>5</v>
      </c>
      <c r="K42" s="2" t="n">
        <v>4</v>
      </c>
      <c r="L42" s="3" t="n">
        <f aca="false">ROUND(G42/MAX(1,H42)*J42*(K42/5),0)</f>
        <v>200</v>
      </c>
      <c r="M42" s="2" t="s">
        <v>32</v>
      </c>
      <c r="N42" s="2" t="s">
        <v>21</v>
      </c>
      <c r="O42" s="2" t="s">
        <v>171</v>
      </c>
    </row>
    <row r="43" customFormat="false" ht="15" hidden="false" customHeight="false" outlineLevel="0" collapsed="false">
      <c r="A43" s="2" t="n">
        <v>42</v>
      </c>
      <c r="B43" s="2" t="s">
        <v>48</v>
      </c>
      <c r="C43" s="2" t="s">
        <v>172</v>
      </c>
      <c r="D43" s="2" t="s">
        <v>173</v>
      </c>
      <c r="E43" s="2" t="s">
        <v>174</v>
      </c>
      <c r="F43" s="2" t="s">
        <v>175</v>
      </c>
      <c r="G43" s="3" t="n">
        <v>200</v>
      </c>
      <c r="H43" s="3" t="n">
        <v>5</v>
      </c>
      <c r="I43" s="3" t="n">
        <v>700</v>
      </c>
      <c r="J43" s="2" t="n">
        <v>5</v>
      </c>
      <c r="K43" s="2" t="n">
        <v>4</v>
      </c>
      <c r="L43" s="3" t="n">
        <f aca="false">ROUND(G43/MAX(1,H43)*J43*(K43/5),0)</f>
        <v>160</v>
      </c>
      <c r="M43" s="2" t="s">
        <v>32</v>
      </c>
      <c r="N43" s="2" t="s">
        <v>21</v>
      </c>
      <c r="O43" s="2" t="s">
        <v>176</v>
      </c>
    </row>
    <row r="44" customFormat="false" ht="15" hidden="false" customHeight="false" outlineLevel="0" collapsed="false">
      <c r="A44" s="2" t="n">
        <v>43</v>
      </c>
      <c r="B44" s="2" t="s">
        <v>15</v>
      </c>
      <c r="C44" s="2" t="s">
        <v>172</v>
      </c>
      <c r="D44" s="2" t="s">
        <v>177</v>
      </c>
      <c r="E44" s="2" t="s">
        <v>178</v>
      </c>
      <c r="F44" s="2" t="s">
        <v>179</v>
      </c>
      <c r="G44" s="3" t="n">
        <v>150</v>
      </c>
      <c r="H44" s="3" t="n">
        <v>4</v>
      </c>
      <c r="I44" s="3" t="n">
        <v>400</v>
      </c>
      <c r="J44" s="2" t="n">
        <v>5</v>
      </c>
      <c r="K44" s="2" t="n">
        <v>4</v>
      </c>
      <c r="L44" s="3" t="n">
        <f aca="false">ROUND(G44/MAX(1,H44)*J44*(K44/5),0)</f>
        <v>150</v>
      </c>
      <c r="M44" s="2" t="s">
        <v>32</v>
      </c>
      <c r="N44" s="2" t="s">
        <v>21</v>
      </c>
      <c r="O44" s="2" t="s">
        <v>180</v>
      </c>
    </row>
  </sheetData>
  <autoFilter ref="A1:O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4" t="s">
        <v>181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182</v>
      </c>
    </row>
    <row r="2" customFormat="false" ht="15" hidden="false" customHeight="false" outlineLevel="0" collapsed="false">
      <c r="A2" s="2" t="s">
        <v>183</v>
      </c>
      <c r="B2" s="2" t="s">
        <v>184</v>
      </c>
      <c r="C2" s="2" t="n">
        <v>800</v>
      </c>
      <c r="D2" s="2" t="n">
        <v>7</v>
      </c>
      <c r="E2" s="2" t="n">
        <v>2000</v>
      </c>
      <c r="F2" s="2" t="s">
        <v>185</v>
      </c>
    </row>
    <row r="3" customFormat="false" ht="15" hidden="false" customHeight="false" outlineLevel="0" collapsed="false">
      <c r="A3" s="2" t="s">
        <v>183</v>
      </c>
      <c r="B3" s="2" t="s">
        <v>186</v>
      </c>
      <c r="C3" s="2" t="n">
        <v>2700</v>
      </c>
      <c r="D3" s="2" t="n">
        <v>26</v>
      </c>
      <c r="E3" s="2" t="n">
        <v>4000</v>
      </c>
      <c r="F3" s="2" t="s">
        <v>187</v>
      </c>
    </row>
    <row r="4" customFormat="false" ht="15" hidden="false" customHeight="false" outlineLevel="0" collapsed="false">
      <c r="A4" s="2" t="s">
        <v>183</v>
      </c>
      <c r="B4" s="2" t="s">
        <v>188</v>
      </c>
      <c r="C4" s="2" t="n">
        <v>400</v>
      </c>
      <c r="D4" s="2" t="n">
        <v>19</v>
      </c>
      <c r="E4" s="2" t="n">
        <v>900</v>
      </c>
      <c r="F4" s="2" t="s">
        <v>189</v>
      </c>
    </row>
    <row r="5" customFormat="false" ht="15" hidden="false" customHeight="false" outlineLevel="0" collapsed="false">
      <c r="A5" s="2" t="s">
        <v>183</v>
      </c>
      <c r="B5" s="2" t="s">
        <v>190</v>
      </c>
      <c r="C5" s="2" t="n">
        <v>100</v>
      </c>
      <c r="D5" s="2" t="n">
        <v>8</v>
      </c>
      <c r="E5" s="2" t="n">
        <v>1200</v>
      </c>
      <c r="F5" s="2" t="s">
        <v>191</v>
      </c>
    </row>
    <row r="6" customFormat="false" ht="15" hidden="false" customHeight="false" outlineLevel="0" collapsed="false">
      <c r="A6" s="2" t="s">
        <v>183</v>
      </c>
      <c r="B6" s="2" t="s">
        <v>192</v>
      </c>
      <c r="C6" s="2" t="n">
        <v>150</v>
      </c>
      <c r="D6" s="2" t="n">
        <v>7</v>
      </c>
      <c r="E6" s="2" t="n">
        <v>200</v>
      </c>
      <c r="F6" s="2" t="s">
        <v>193</v>
      </c>
    </row>
    <row r="7" customFormat="false" ht="15" hidden="false" customHeight="false" outlineLevel="0" collapsed="false">
      <c r="A7" s="2" t="s">
        <v>194</v>
      </c>
      <c r="B7" s="2" t="s">
        <v>195</v>
      </c>
      <c r="C7" s="2" t="n">
        <v>900</v>
      </c>
      <c r="D7" s="2" t="n">
        <v>7</v>
      </c>
      <c r="E7" s="2" t="n">
        <v>300</v>
      </c>
      <c r="F7" s="2" t="s">
        <v>196</v>
      </c>
    </row>
    <row r="8" customFormat="false" ht="15" hidden="false" customHeight="false" outlineLevel="0" collapsed="false">
      <c r="A8" s="2" t="s">
        <v>194</v>
      </c>
      <c r="B8" s="2" t="s">
        <v>197</v>
      </c>
      <c r="C8" s="2" t="n">
        <v>100</v>
      </c>
      <c r="D8" s="2" t="n">
        <v>1</v>
      </c>
      <c r="E8" s="2" t="n">
        <v>0</v>
      </c>
      <c r="F8" s="2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2026-08-05T04:43:22Z</dcterms:created>
  <dc:creator>openpyxl</dc:creator>
  <dc:description/>
  <dc:language>en-US</dc:language>
  <cp:lastModifiedBy/>
  <dcterms:modified xsi:type="dcterms:W3CDTF">2026-08-05T04:43:23Z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