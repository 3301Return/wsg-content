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ly 2026 Priorities" sheetId="1" state="visible" r:id="rId3"/>
    <sheet name="Already Written or Assigned" sheetId="2" state="visible" r:id="rId4"/>
    <sheet name="Methodolog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<sst xmlns="http://schemas.openxmlformats.org/spreadsheetml/2006/main" count="587" uniqueCount="344">
  <si>
    <t xml:space="preserve">Rank</t>
  </si>
  <si>
    <t xml:space="preserve">Vertical</t>
  </si>
  <si>
    <t xml:space="preserve">Tier</t>
  </si>
  <si>
    <t xml:space="preserve">Headline</t>
  </si>
  <si>
    <t xml:space="preserve">Target keyword</t>
  </si>
  <si>
    <t xml:space="preserve">Vol</t>
  </si>
  <si>
    <t xml:space="preserve">KD</t>
  </si>
  <si>
    <t xml:space="preserve">TP</t>
  </si>
  <si>
    <t xml:space="preserve">Recruit Rel (1-5)</t>
  </si>
  <si>
    <t xml:space="preserve">F/S Fit (1-5)</t>
  </si>
  <si>
    <t xml:space="preserve">Composite</t>
  </si>
  <si>
    <t xml:space="preserve">Format</t>
  </si>
  <si>
    <t xml:space="preserve">Source</t>
  </si>
  <si>
    <t xml:space="preserve">July timing</t>
  </si>
  <si>
    <t xml:space="preserve">Notes</t>
  </si>
  <si>
    <t xml:space="preserve">CON</t>
  </si>
  <si>
    <t xml:space="preserve">S</t>
  </si>
  <si>
    <t xml:space="preserve">Top 10 Consulting Jobs for Undergrads in 2026</t>
  </si>
  <si>
    <t xml:space="preserve">consulting jobs</t>
  </si>
  <si>
    <t xml:space="preserve">listicle</t>
  </si>
  <si>
    <t xml:space="preserve">Sheet Mar-2026 + May rescore</t>
  </si>
  <si>
    <t xml:space="preserve">Evergreen authority anchor; ranks by fall exploration season</t>
  </si>
  <si>
    <t xml:space="preserve">Ranked #1 in May 2026 rescore, still unwritten. KD confirmed 0 in July check.</t>
  </si>
  <si>
    <t xml:space="preserve">IB</t>
  </si>
  <si>
    <t xml:space="preserve">Walk Me Through a DCF: The 7-Step Answer That Works</t>
  </si>
  <si>
    <t xml:space="preserve">walk me through a dcf</t>
  </si>
  <si>
    <t xml:space="preserve">ultimate-guide</t>
  </si>
  <si>
    <t xml:space="preserve">Sheet Mar-2026 (assigned, never written)</t>
  </si>
  <si>
    <t xml:space="preserve">Publish now to rank for Sept-Jan technical interview season</t>
  </si>
  <si>
    <t xml:space="preserve">KD 0 at 1,300 volume. Highest-value technical keyword on the board.</t>
  </si>
  <si>
    <t xml:space="preserve">McKinsey Sophomore Summer Business Analyst: How to Get In</t>
  </si>
  <si>
    <t xml:space="preserve">mckinsey sophomore summer business analyst</t>
  </si>
  <si>
    <t xml:space="preserve">niche</t>
  </si>
  <si>
    <t xml:space="preserve">July 2026 Ahrefs pull</t>
  </si>
  <si>
    <t xml:space="preserve">Sophomore program apps open fall 2026; July publish ranks in time</t>
  </si>
  <si>
    <t xml:space="preserve">Anchor of the sophomore-program cluster.</t>
  </si>
  <si>
    <t xml:space="preserve">Investment Banking Resume: Template, Examples, and 8 Rules</t>
  </si>
  <si>
    <t xml:space="preserve">investment banking resume</t>
  </si>
  <si>
    <t xml:space="preserve">July pull + Sheet (template row never written)</t>
  </si>
  <si>
    <t xml:space="preserve">Resumes get finalized Aug-Sept before apps open</t>
  </si>
  <si>
    <t xml:space="preserve">Absorbs investment banking resume template (1,000/2) + example (250/1). Coordinate with pending IB Internship CV article.</t>
  </si>
  <si>
    <t xml:space="preserve">What Does an Equity Research Analyst Do? Salary and Path</t>
  </si>
  <si>
    <t xml:space="preserve">equity research analyst</t>
  </si>
  <si>
    <t xml:space="preserve">Sheet Mar-2026, never written</t>
  </si>
  <si>
    <t xml:space="preserve">Evergreen exploration content</t>
  </si>
  <si>
    <t xml:space="preserve">Pairs with pending How to Get Into Equity Research guide.</t>
  </si>
  <si>
    <t xml:space="preserve">How to Email a Goldman Sachs Banker: 5 Cold Email Templates</t>
  </si>
  <si>
    <t xml:space="preserve">goldman sachs email format</t>
  </si>
  <si>
    <t xml:space="preserve">Cold outreach for fall networking starts July-Aug</t>
  </si>
  <si>
    <t xml:space="preserve">KD 0. Fold in evercore email format (250/0) as secondary.</t>
  </si>
  <si>
    <t xml:space="preserve">Top 15 HireVue Questions and How to Answer Them</t>
  </si>
  <si>
    <t xml:space="preserve">hirevue questions</t>
  </si>
  <si>
    <t xml:space="preserve">HireVue waves hit Sept-Nov; must be live and indexed by then</t>
  </si>
  <si>
    <t xml:space="preserve">General umbrella; links pending GS HireVue piece + JPM/BlackRock variants.</t>
  </si>
  <si>
    <t xml:space="preserve">FTI Consulting Careers: Salaries, Interviews, How to Get Hired</t>
  </si>
  <si>
    <t xml:space="preserve">fti consulting internship</t>
  </si>
  <si>
    <t xml:space="preserve">Evergreen firm guide; links RX vertical</t>
  </si>
  <si>
    <t xml:space="preserve">Also targets fti consulting salary (400/0). Tier 2 source verification before publish.</t>
  </si>
  <si>
    <t xml:space="preserve">Walk Me Through an LBO: The 6-Step Answer</t>
  </si>
  <si>
    <t xml:space="preserve">walk me through an lbo</t>
  </si>
  <si>
    <t xml:space="preserve">Technical season prep, same clock as the DCF piece</t>
  </si>
  <si>
    <t xml:space="preserve">Internal-link with DCF article.</t>
  </si>
  <si>
    <t xml:space="preserve">How to Get the BCG Sophomore Internship</t>
  </si>
  <si>
    <t xml:space="preserve">bcg sophomore internship</t>
  </si>
  <si>
    <t xml:space="preserve">Fall application window for sophomore programs</t>
  </si>
  <si>
    <t xml:space="preserve">Parent topic: BCG GFL. Sophomore cluster.</t>
  </si>
  <si>
    <t xml:space="preserve">A</t>
  </si>
  <si>
    <t xml:space="preserve">Top 10 JPMorgan HireVue Questions and How to Answer Them</t>
  </si>
  <si>
    <t xml:space="preserve">jp morgan hirevue questions</t>
  </si>
  <si>
    <t xml:space="preserve">Sept-Nov HireVue season</t>
  </si>
  <si>
    <t xml:space="preserve">Assessment cluster with #7.</t>
  </si>
  <si>
    <t xml:space="preserve">Big 4 Consulting Salaries in 2026: Full Breakdown</t>
  </si>
  <si>
    <t xml:space="preserve">deloitte consulting salary</t>
  </si>
  <si>
    <t xml:space="preserve">Evergreen; offer season interest peaks in fall</t>
  </si>
  <si>
    <t xml:space="preserve">Also targets ey/pwc/bain/lek consulting salary long-tails.</t>
  </si>
  <si>
    <t xml:space="preserve">Investment Banking Recruiting Timeline for 2027</t>
  </si>
  <si>
    <t xml:space="preserve">investment banking recruiting timeline</t>
  </si>
  <si>
    <t xml:space="preserve">Sophomores are planning their fall right now</t>
  </si>
  <si>
    <t xml:space="preserve">IB-side analog of the consulting timeline anchor. VERIFY cycle dates at drafting.</t>
  </si>
  <si>
    <t xml:space="preserve">Top 20 Goldman Sachs Interview Questions</t>
  </si>
  <si>
    <t xml:space="preserve">goldman sachs interview questions</t>
  </si>
  <si>
    <t xml:space="preserve">July pull + Sheet (never written)</t>
  </si>
  <si>
    <t xml:space="preserve">Fall interview season</t>
  </si>
  <si>
    <t xml:space="preserve">Absorbs the 10 GS long-tail question variants (20-40 vol each) as secondaries.</t>
  </si>
  <si>
    <t xml:space="preserve">Morgan Stanley Sophomore Summer Analyst: How to Get In</t>
  </si>
  <si>
    <t xml:space="preserve">morgan stanley sophomore summer analyst</t>
  </si>
  <si>
    <t xml:space="preserve">Fall application window</t>
  </si>
  <si>
    <t xml:space="preserve">TP 4,800. Sophomore cluster.</t>
  </si>
  <si>
    <t xml:space="preserve">Big 4 Consulting Internships: How to Get One</t>
  </si>
  <si>
    <t xml:space="preserve">pwc consulting internship</t>
  </si>
  <si>
    <t xml:space="preserve">Fall recruiting</t>
  </si>
  <si>
    <t xml:space="preserve">Also targets deloitte consulting internship (150/12) + ey consulting internship (250/2, TP 10,000).</t>
  </si>
  <si>
    <t xml:space="preserve">Consulting Resume Checklist with Examples</t>
  </si>
  <si>
    <t xml:space="preserve">consulting resume</t>
  </si>
  <si>
    <t xml:space="preserve">Sheet + approved consulting plan, never written</t>
  </si>
  <si>
    <t xml:space="preserve">Resume season Aug-Sept</t>
  </si>
  <si>
    <t xml:space="preserve">Already an approved headline in consulting-keywords.md.</t>
  </si>
  <si>
    <t xml:space="preserve">How to Become a Management Consultant (Undergrad Path)</t>
  </si>
  <si>
    <t xml:space="preserve">how to become a consultant</t>
  </si>
  <si>
    <t xml:space="preserve">Evergreen exploration</t>
  </si>
  <si>
    <t xml:space="preserve">TP 7,200. KD 12 is workable.</t>
  </si>
  <si>
    <t xml:space="preserve">How Hard Is It to Get Into Investment Banking?</t>
  </si>
  <si>
    <t xml:space="preserve">how hard is it to get into investment banking</t>
  </si>
  <si>
    <t xml:space="preserve">Sheet (assigned, never written)</t>
  </si>
  <si>
    <t xml:space="preserve">Exploration content, evergreen</t>
  </si>
  <si>
    <t xml:space="preserve">Was assigned Akanksha; no draft exists anywhere.</t>
  </si>
  <si>
    <t xml:space="preserve">How to Answer Why Investment Banking</t>
  </si>
  <si>
    <t xml:space="preserve">why investment banking interview question</t>
  </si>
  <si>
    <t xml:space="preserve">Behaviorals hit Sept-Dec</t>
  </si>
  <si>
    <t xml:space="preserve">Say-this/do-not-say format applies.</t>
  </si>
  <si>
    <t xml:space="preserve">BS</t>
  </si>
  <si>
    <t xml:space="preserve">B</t>
  </si>
  <si>
    <t xml:space="preserve">Hedge Fund Recruiting for Undergrads</t>
  </si>
  <si>
    <t xml:space="preserve">hedge fund recruiting</t>
  </si>
  <si>
    <t xml:space="preserve">Evergreen</t>
  </si>
  <si>
    <t xml:space="preserve">Also hedge fund recruiting firms (210 in sheet).</t>
  </si>
  <si>
    <t xml:space="preserve">Bridgewater Associates Internship: How to Get In</t>
  </si>
  <si>
    <t xml:space="preserve">bridgewater associates internship</t>
  </si>
  <si>
    <t xml:space="preserve">Fall apps</t>
  </si>
  <si>
    <t xml:space="preserve">Volume corrected: sheet said 720, July data shows 150.</t>
  </si>
  <si>
    <t xml:space="preserve">25 Finance Interview Questions You Will Be Asked</t>
  </si>
  <si>
    <t xml:space="preserve">finance interview questions</t>
  </si>
  <si>
    <t xml:space="preserve">Sheet blog-post title already drafted in sheet.</t>
  </si>
  <si>
    <t xml:space="preserve">Ultimate Guide to the Pymetrics Test</t>
  </si>
  <si>
    <t xml:space="preserve">pymetrics</t>
  </si>
  <si>
    <t xml:space="preserve">Assessments hit with fall apps</t>
  </si>
  <si>
    <t xml:space="preserve">Umbrella over Bain Pymetrics (approved plan) + blackstone pymetrics (250/1).</t>
  </si>
  <si>
    <t xml:space="preserve">The 5 Case Interview Frameworks That Actually Matter</t>
  </si>
  <si>
    <t xml:space="preserve">case interview frameworks</t>
  </si>
  <si>
    <t xml:space="preserve">Case prep peaks Sept-Nov</t>
  </si>
  <si>
    <t xml:space="preserve">Internal-links the 4 framework guides shipped July 12.</t>
  </si>
  <si>
    <t xml:space="preserve">EY Consulting Internship: How to Get One</t>
  </si>
  <si>
    <t xml:space="preserve">ey consulting internship</t>
  </si>
  <si>
    <t xml:space="preserve">TP 10,000 (parent: ey internships). Distinct from EY-Parthenon article.</t>
  </si>
  <si>
    <t xml:space="preserve">X</t>
  </si>
  <si>
    <t xml:space="preserve">20 FP&amp;A Interview Questions and Answers</t>
  </si>
  <si>
    <t xml:space="preserve">fp&amp;a interview questions</t>
  </si>
  <si>
    <t xml:space="preserve">Fall season</t>
  </si>
  <si>
    <t xml:space="preserve">Adjacent role; solid KD-0 pickup.</t>
  </si>
  <si>
    <t xml:space="preserve">15 Best Consulting Internships for Undergraduates</t>
  </si>
  <si>
    <t xml:space="preserve">consulting internships</t>
  </si>
  <si>
    <t xml:space="preserve">Sheet (assigned Reya, never written)</t>
  </si>
  <si>
    <t xml:space="preserve">KD fell from 44 (sheet) to 18 (July). Materially more winnable now.</t>
  </si>
  <si>
    <t xml:space="preserve">Is Hacking the Case Interview Worth It?</t>
  </si>
  <si>
    <t xml:space="preserve">hacking the case interview</t>
  </si>
  <si>
    <t xml:space="preserve">niche (review)</t>
  </si>
  <si>
    <t xml:space="preserve">Review format; real cons required.</t>
  </si>
  <si>
    <t xml:space="preserve">A Beginner's Guide to Growth Equity for Undergrads</t>
  </si>
  <si>
    <t xml:space="preserve">growth equity</t>
  </si>
  <si>
    <t xml:space="preserve">Career angle first per recruiting-relevance skill. KD 9 clears Score-3 bar.</t>
  </si>
  <si>
    <t xml:space="preserve">Susquehanna Growth Equity Career Guide</t>
  </si>
  <si>
    <t xml:space="preserve">susquehanna growth equity</t>
  </si>
  <si>
    <t xml:space="preserve">Evergreen firm guide</t>
  </si>
  <si>
    <t xml:space="preserve">Tier 2 verified brand (source-verification list).</t>
  </si>
  <si>
    <t xml:space="preserve">A Day in the Life of an Investment Banker</t>
  </si>
  <si>
    <t xml:space="preserve">day in the life of an investment banker</t>
  </si>
  <si>
    <t xml:space="preserve">Exploration; converts freshmen/sophomores</t>
  </si>
  <si>
    <t xml:space="preserve">Low volume, perfect F/S fit.</t>
  </si>
  <si>
    <t xml:space="preserve">Consulting Career Path: Analyst to Partner</t>
  </si>
  <si>
    <t xml:space="preserve">consulting career path</t>
  </si>
  <si>
    <t xml:space="preserve">Exploration</t>
  </si>
  <si>
    <t xml:space="preserve">Pairs with IB career path piece.</t>
  </si>
  <si>
    <t xml:space="preserve">10 Case Interview Examples Walked Through</t>
  </si>
  <si>
    <t xml:space="preserve">case interview examples</t>
  </si>
  <si>
    <t xml:space="preserve">Case season Sept-Nov</t>
  </si>
  <si>
    <t xml:space="preserve">TP 4,000.</t>
  </si>
  <si>
    <t xml:space="preserve">Investment Banking Career Path: Analyst to MD</t>
  </si>
  <si>
    <t xml:space="preserve">investment banking career path</t>
  </si>
  <si>
    <t xml:space="preserve">Sheet (assigned Nikson) + July pull</t>
  </si>
  <si>
    <t xml:space="preserve">Sheet title already written in sheet row.</t>
  </si>
  <si>
    <t xml:space="preserve">25 Private Equity Interview Questions That Get Asked</t>
  </si>
  <si>
    <t xml:space="preserve">private equity interview questions</t>
  </si>
  <si>
    <t xml:space="preserve">On-cycle prep for juniors</t>
  </si>
  <si>
    <t xml:space="preserve">Companion to published PC interview questions article.</t>
  </si>
  <si>
    <t xml:space="preserve">Sales &amp; Trading vs Investment Banking</t>
  </si>
  <si>
    <t xml:space="preserve">sales and trading vs investment banking</t>
  </si>
  <si>
    <t xml:space="preserve">niche (comparison)</t>
  </si>
  <si>
    <t xml:space="preserve">Volume corrected: sheet said 540, July data shows 80.</t>
  </si>
  <si>
    <t xml:space="preserve">C</t>
  </si>
  <si>
    <t xml:space="preserve">Is Wall Street Prep Worth It? An Honest Review</t>
  </si>
  <si>
    <t xml:space="preserve">wall street prep</t>
  </si>
  <si>
    <t xml:space="preserve">Evergreen swing piece</t>
  </si>
  <si>
    <t xml:space="preserve">Biggest volume on the board. KD rose 24 to 38; treat as long-game bet.</t>
  </si>
  <si>
    <t xml:space="preserve">What Is Wall Street Oasis? A Brutally Honest Review</t>
  </si>
  <si>
    <t xml:space="preserve">wall street oasis</t>
  </si>
  <si>
    <t xml:space="preserve">TP 28,000; navigational query, review angle.</t>
  </si>
  <si>
    <t xml:space="preserve">2026 Guide to Diversity Finance Fellowships and Deadlines</t>
  </si>
  <si>
    <t xml:space="preserve">diversity finance fellowship</t>
  </si>
  <si>
    <t xml:space="preserve">STRATEGIC JULY PICK: fellowship apps open Aug-Jan; July publish is exactly on time</t>
  </si>
  <si>
    <t xml:space="preserve">Vol/KD from Mar-2026 sheet, not re-verified in July check. Composite understates seasonal value.</t>
  </si>
  <si>
    <t xml:space="preserve">Mastering the Bain Written Case: Templates and Examples</t>
  </si>
  <si>
    <t xml:space="preserve">bain written case study</t>
  </si>
  <si>
    <t xml:space="preserve">STRATEGIC JULY PICK: Bain deadline #2 is Aug 31</t>
  </si>
  <si>
    <t xml:space="preserve">Internal-links the new Bain ACI article. Vol/KD from Mar-2026 sheet.</t>
  </si>
  <si>
    <t xml:space="preserve">Top 10 Ranked Elite Boutique Banks for Undergrads</t>
  </si>
  <si>
    <t xml:space="preserve">elite boutique investment banks</t>
  </si>
  <si>
    <t xml:space="preserve">Distinct from pending Break Into EB guide; coordinate to avoid cannibalizing.</t>
  </si>
  <si>
    <t xml:space="preserve">10 Tips to Beat the Case Interview</t>
  </si>
  <si>
    <t xml:space="preserve">case interview</t>
  </si>
  <si>
    <t xml:space="preserve">Case season</t>
  </si>
  <si>
    <t xml:space="preserve">DATA CORRECTED: sheet showed 37,000 US traffic; July check shows 1,300 vol at KD 26.</t>
  </si>
  <si>
    <t xml:space="preserve">How to Pass the Capital One Case Interview</t>
  </si>
  <si>
    <t xml:space="preserve">capital one case interview</t>
  </si>
  <si>
    <t xml:space="preserve">Off-core brand (fintech BA role, not consulting). Needs Nikson brand-fit call.</t>
  </si>
  <si>
    <t xml:space="preserve">McKinsey Salary 2026: BA to Partner Pay</t>
  </si>
  <si>
    <t xml:space="preserve">mckinsey salary</t>
  </si>
  <si>
    <t xml:space="preserve">Sheet + approved plan, never written</t>
  </si>
  <si>
    <t xml:space="preserve">Offer season</t>
  </si>
  <si>
    <t xml:space="preserve">KD rose from 7 (sheet) to 18 (July).</t>
  </si>
  <si>
    <t xml:space="preserve">Article / Headline</t>
  </si>
  <si>
    <t xml:space="preserve">Keyword</t>
  </si>
  <si>
    <t xml:space="preserve">Where it lives</t>
  </si>
  <si>
    <t xml:space="preserve">Status</t>
  </si>
  <si>
    <t xml:space="preserve">10 Free Investment Banking Coaching Courses</t>
  </si>
  <si>
    <t xml:space="preserve">investment banking coaching free</t>
  </si>
  <si>
    <t xml:space="preserve">repo published/</t>
  </si>
  <si>
    <t xml:space="preserve">published</t>
  </si>
  <si>
    <t xml:space="preserve">10 Investment Banking Internships to Apply To in 2026</t>
  </si>
  <si>
    <t xml:space="preserve">investment banking internship</t>
  </si>
  <si>
    <t xml:space="preserve">10 Investment Banking Internships to Apply To in 2027</t>
  </si>
  <si>
    <t xml:space="preserve">investment banking internship 2027</t>
  </si>
  <si>
    <t xml:space="preserve">30 Examples Investment Banking Behavioral Interview Questions</t>
  </si>
  <si>
    <t xml:space="preserve">finance behavioral interview questions</t>
  </si>
  <si>
    <t xml:space="preserve">30 Most-Asked Investment Banking Interview Questions in 2026</t>
  </si>
  <si>
    <t xml:space="preserve">investment banking interview questions</t>
  </si>
  <si>
    <t xml:space="preserve">A Beginner's Guide to Private Credit</t>
  </si>
  <si>
    <t xml:space="preserve">what is private credit</t>
  </si>
  <si>
    <t xml:space="preserve">Breaking Into Wall Street: 10 Strategies That Have Actually Worked</t>
  </si>
  <si>
    <t xml:space="preserve">breaking into wall street</t>
  </si>
  <si>
    <t xml:space="preserve">Equity Research vs Investment Banking</t>
  </si>
  <si>
    <t xml:space="preserve">equity research vs investment banking</t>
  </si>
  <si>
    <t xml:space="preserve">How to Beat McKinsey Solve / Solve Game in 2026</t>
  </si>
  <si>
    <t xml:space="preserve">mckinsey solve game tips</t>
  </si>
  <si>
    <t xml:space="preserve">How to Land a Sales and Trading Internship</t>
  </si>
  <si>
    <t xml:space="preserve">sales and trading internship</t>
  </si>
  <si>
    <t xml:space="preserve">How to Prepare for Evercore Investment Banking Interview Questions</t>
  </si>
  <si>
    <t xml:space="preserve">evercore investment banking interview questions</t>
  </si>
  <si>
    <t xml:space="preserve">IGotAnOffer Review</t>
  </si>
  <si>
    <t xml:space="preserve">igotanoffer</t>
  </si>
  <si>
    <t xml:space="preserve">JP Morgan Superday Tips for 2026</t>
  </si>
  <si>
    <t xml:space="preserve">jp morgan superday tips</t>
  </si>
  <si>
    <t xml:space="preserve">The Ultimate Guide to Break Into Restructuring</t>
  </si>
  <si>
    <t xml:space="preserve">how to break into restructuring</t>
  </si>
  <si>
    <t xml:space="preserve">The Ultimate Guide to Landing a Private Equity Internship as an Undergrad</t>
  </si>
  <si>
    <t xml:space="preserve">private equity internship</t>
  </si>
  <si>
    <t xml:space="preserve">Top 10 Investment Banking Online Coaching Programs</t>
  </si>
  <si>
    <t xml:space="preserve">ib online coaching</t>
  </si>
  <si>
    <t xml:space="preserve">Top 10 Management Consulting Firms for Undergrads in 2026</t>
  </si>
  <si>
    <t xml:space="preserve">top 10 management consulting firms</t>
  </si>
  <si>
    <t xml:space="preserve">Top 10 Places to Find an Investment Banking Career Coach</t>
  </si>
  <si>
    <t xml:space="preserve">investment banking career coach</t>
  </si>
  <si>
    <t xml:space="preserve">Top 10 Private Equity Recruiting Firms</t>
  </si>
  <si>
    <t xml:space="preserve">private equity recruiting firms</t>
  </si>
  <si>
    <t xml:space="preserve">Top 10 Sophomore Insights Programs for IB</t>
  </si>
  <si>
    <t xml:space="preserve">sophomore investment banking programs</t>
  </si>
  <si>
    <t xml:space="preserve">Ultimate Guide on How to Get into Sales and Trading</t>
  </si>
  <si>
    <t xml:space="preserve">how to get into sales and trading</t>
  </si>
  <si>
    <t xml:space="preserve">Venture Capital Internships for Undergrads: 10 Programs That Actually Hire</t>
  </si>
  <si>
    <t xml:space="preserve">venture capital internships</t>
  </si>
  <si>
    <t xml:space="preserve">Top 10 Free Resources for Investment Banking Interview Questions in 2026</t>
  </si>
  <si>
    <t xml:space="preserve">ib interview questions</t>
  </si>
  <si>
    <t xml:space="preserve">repo samples/</t>
  </si>
  <si>
    <t xml:space="preserve">written</t>
  </si>
  <si>
    <t xml:space="preserve">Top 10 IB Recruitment Mentorship Programs</t>
  </si>
  <si>
    <t xml:space="preserve">ib recruitment mentorship</t>
  </si>
  <si>
    <t xml:space="preserve">written (live per writer notes)</t>
  </si>
  <si>
    <t xml:space="preserve">How to Break into IB as a Freshman: 6 Steps to Get an Offer</t>
  </si>
  <si>
    <t xml:space="preserve">how to break into ib as a freshman</t>
  </si>
  <si>
    <t xml:space="preserve">How to Prepare for an Investment Banking Interview in 2026</t>
  </si>
  <si>
    <t xml:space="preserve">how to prepare for investment banking interview</t>
  </si>
  <si>
    <t xml:space="preserve">30 Sales and Trading Interview Terms Defined</t>
  </si>
  <si>
    <t xml:space="preserve">sales and trading interview questions</t>
  </si>
  <si>
    <t xml:space="preserve">repo archived/</t>
  </si>
  <si>
    <t xml:space="preserve">archived (questions angle still open, see Notes)</t>
  </si>
  <si>
    <t xml:space="preserve">20 Private Credit Interview Questions</t>
  </si>
  <si>
    <t xml:space="preserve">private credit interview questions</t>
  </si>
  <si>
    <t xml:space="preserve">project folder (Claude)</t>
  </si>
  <si>
    <t xml:space="preserve">Market Sizing Questions: 10 Examples with Step-by-Step Answers</t>
  </si>
  <si>
    <t xml:space="preserve">market sizing questions</t>
  </si>
  <si>
    <t xml:space="preserve">Claude, July 12 2026</t>
  </si>
  <si>
    <t xml:space="preserve">written (docx delivered)</t>
  </si>
  <si>
    <t xml:space="preserve">Ultimate Guide to the Market Entry Framework</t>
  </si>
  <si>
    <t xml:space="preserve">market entry framework</t>
  </si>
  <si>
    <t xml:space="preserve">EY-Parthenon Careers: Roles, Salaries, Interviews, and How to Get Hired</t>
  </si>
  <si>
    <t xml:space="preserve">ey-parthenon careers</t>
  </si>
  <si>
    <t xml:space="preserve">How to Land a Bain Associate Consultant Internship</t>
  </si>
  <si>
    <t xml:space="preserve">bain associate consultant internship</t>
  </si>
  <si>
    <t xml:space="preserve">The Ultimate Guide to the Profitability Case Framework</t>
  </si>
  <si>
    <t xml:space="preserve">profitability case framework</t>
  </si>
  <si>
    <t xml:space="preserve">The Ultimate Guide to the Growth Strategy Framework</t>
  </si>
  <si>
    <t xml:space="preserve">growth strategy framework</t>
  </si>
  <si>
    <t xml:space="preserve">Consulting Cover Letter Template (With Example That Got Interviews)</t>
  </si>
  <si>
    <t xml:space="preserve">consulting cover letter</t>
  </si>
  <si>
    <t xml:space="preserve">Claude, July 2026</t>
  </si>
  <si>
    <t xml:space="preserve">written, in edit</t>
  </si>
  <si>
    <t xml:space="preserve">Top 15 Goldman Sachs HireVue Questions</t>
  </si>
  <si>
    <t xml:space="preserve">goldman sachs hirevue</t>
  </si>
  <si>
    <t xml:space="preserve">calendar next-up (Kevin Huang)</t>
  </si>
  <si>
    <t xml:space="preserve">assigned, not written</t>
  </si>
  <si>
    <t xml:space="preserve">15 Finance Behavioral Interview Questions With Strong Sample Answers</t>
  </si>
  <si>
    <t xml:space="preserve">calendar next-up (Erin Bettigole)</t>
  </si>
  <si>
    <t xml:space="preserve">The Ultimate Guide to Break Into Elite Boutiques</t>
  </si>
  <si>
    <t xml:space="preserve">cv for investment banking internship</t>
  </si>
  <si>
    <t xml:space="preserve">calendar next-up (Jackson Laite)</t>
  </si>
  <si>
    <t xml:space="preserve">The Ultimate Guide to Get into Equity Research</t>
  </si>
  <si>
    <t xml:space="preserve">how to get into equity research</t>
  </si>
  <si>
    <t xml:space="preserve">calendar next-up (Fin Panton)</t>
  </si>
  <si>
    <t xml:space="preserve">10 Management Consulting Interview Prep Tools and Resources</t>
  </si>
  <si>
    <t xml:space="preserve">management consulting interview prep</t>
  </si>
  <si>
    <t xml:space="preserve">calendar next-up (Giovanni Coeli)</t>
  </si>
  <si>
    <t xml:space="preserve">The Ultimate Guide to the BCG Casey Chatbot Interview</t>
  </si>
  <si>
    <t xml:space="preserve">bcg casey chatbot prep</t>
  </si>
  <si>
    <t xml:space="preserve">calendar next-up (Bhumika Bhadriraju)</t>
  </si>
  <si>
    <t xml:space="preserve">400 IB Interview Questions: What to Study, What to Skip</t>
  </si>
  <si>
    <t xml:space="preserve">400 ib interview questions</t>
  </si>
  <si>
    <t xml:space="preserve">calendar next-up (Veronika Raiffe)</t>
  </si>
  <si>
    <t xml:space="preserve">Investment Banking Internship CV: 8 Things Every Strong Application Includes</t>
  </si>
  <si>
    <t xml:space="preserve">how to break into eb</t>
  </si>
  <si>
    <t xml:space="preserve">WSG Keyword Priorities, July 2026</t>
  </si>
  <si>
    <t xml:space="preserve">Built</t>
  </si>
  <si>
    <t xml:space="preserve">July 12, 2026</t>
  </si>
  <si>
    <t xml:space="preserve">Sources</t>
  </si>
  <si>
    <t xml:space="preserve">Google Sheet 'Keyword Prioritization' (gid 4272388), read July 12; Ahrefs Keywords Explorer pulls July 12 (US); repo content-calendar + drafts/published/samples; articles written in Claude July 12.</t>
  </si>
  <si>
    <t xml:space="preserve">Scoring</t>
  </si>
  <si>
    <t xml:space="preserve">Per .claude-skill/recruiting-relevance.md</t>
  </si>
  <si>
    <t xml:space="preserve">5 = direct recruiting, 4 = firm/career orientation, 3 = career-adjacent explainer (KD &lt;= 10), 2 = practitioner content (skip), 1 = instrument definition (skip)</t>
  </si>
  <si>
    <t xml:space="preserve">5 = exploration-stage freshman/sophomore, 3 = soph/junior crossover prep, 1 = post-grad or lateral</t>
  </si>
  <si>
    <t xml:space="preserve">(Vol / MAX(1, KD)) x Recruit Rel x (F/S Fit / 5). Live formula in column K of the priorities sheet.</t>
  </si>
  <si>
    <t xml:space="preserve">S = ship first, A = next, B = backlog, C = strategic or flagged (timing bumps and data-corrected rows)</t>
  </si>
  <si>
    <t xml:space="preserve">Cross-reference rule</t>
  </si>
  <si>
    <t xml:space="preserve">Only keywords with no written draft anywhere (repo drafts/, samples/, published/, Claude outputs) and no calendar next-up assignment made this list. Sheet rows that were assigned a writer but never produced a draft are treated as unwritten and revived.</t>
  </si>
  <si>
    <t xml:space="preserve">Data corrections vs the March 30 sheet (its KD column dates to May 2024)</t>
  </si>
  <si>
    <t xml:space="preserve">Sheet showed 37,000 US traffic. July 2026 Ahrefs: 1,300 volume, KD 26.</t>
  </si>
  <si>
    <t xml:space="preserve">KD fell from 44 to 18. Materially more winnable.</t>
  </si>
  <si>
    <t xml:space="preserve">KD rose from 24-25 to 38.</t>
  </si>
  <si>
    <t xml:space="preserve">KD rose from 7 to 18.</t>
  </si>
  <si>
    <t xml:space="preserve">Volume 720 then, 150 now.</t>
  </si>
  <si>
    <t xml:space="preserve">Volume 540 then, 80 now.</t>
  </si>
  <si>
    <t xml:space="preserve">diversity finance fellowship / bain written case study</t>
  </si>
  <si>
    <t xml:space="preserve">Not returned in July check; sheet figures retained, marked in Notes.</t>
  </si>
  <si>
    <t xml:space="preserve">Site status</t>
  </si>
  <si>
    <t xml:space="preserve">Ahrefs shows zero indexed ranking pages for wallstreetguide.net as of July 12, 2026, so 'used' was determined from the repo and Claude outputs, not live rankings.</t>
  </si>
  <si>
    <t xml:space="preserve">July timing logic</t>
  </si>
  <si>
    <t xml:space="preserve">Publishing in July ranks by Sept-Oct (2-3 month lag): HireVue/assessment waves (Sept-Nov), technical interview season (Sept-Jan), sophomore program apps (fall), diversity fellowships (Aug-Jan), Bain deadline #2 (Aug 31).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</si>
</sst>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52"/>
    <col collapsed="false" customWidth="true" hidden="false" outlineLevel="0" max="5" min="5" style="1" width="38"/>
    <col collapsed="false" customWidth="true" hidden="false" outlineLevel="0" max="6" min="6" style="1" width="8"/>
    <col collapsed="false" customWidth="true" hidden="false" outlineLevel="0" max="7" min="7" style="1" width="6"/>
    <col collapsed="false" customWidth="true" hidden="false" outlineLevel="0" max="8" min="8" style="1" width="9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6"/>
    <col collapsed="false" customWidth="true" hidden="false" outlineLevel="0" max="13" min="13" style="1" width="34"/>
    <col collapsed="false" customWidth="true" hidden="false" outlineLevel="0" max="14" min="14" style="1" width="46"/>
    <col collapsed="false" customWidth="true" hidden="false" outlineLevel="0" max="15" min="15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true" outlineLevel="0" collapsed="false">
      <c r="A2" s="3" t="n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n">
        <v>4900</v>
      </c>
      <c r="G2" s="3" t="n">
        <v>0</v>
      </c>
      <c r="H2" s="3" t="n">
        <v>2500</v>
      </c>
      <c r="I2" s="3" t="n">
        <v>5</v>
      </c>
      <c r="J2" s="3" t="n">
        <v>5</v>
      </c>
      <c r="K2" s="3" t="n">
        <f aca="false">ROUND((F2/MAX(1,G2))*I2*(J2/5),0)</f>
        <v>24500</v>
      </c>
      <c r="L2" s="3" t="s">
        <v>19</v>
      </c>
      <c r="M2" s="3" t="s">
        <v>20</v>
      </c>
      <c r="N2" s="3" t="s">
        <v>21</v>
      </c>
      <c r="O2" s="3" t="s">
        <v>22</v>
      </c>
    </row>
    <row r="3" customFormat="false" ht="15" hidden="false" customHeight="true" outlineLevel="0" collapsed="false">
      <c r="A3" s="3" t="n">
        <v>2</v>
      </c>
      <c r="B3" s="3" t="s">
        <v>23</v>
      </c>
      <c r="C3" s="3" t="s">
        <v>16</v>
      </c>
      <c r="D3" s="3" t="s">
        <v>24</v>
      </c>
      <c r="E3" s="3" t="s">
        <v>25</v>
      </c>
      <c r="F3" s="3" t="n">
        <v>1300</v>
      </c>
      <c r="G3" s="3" t="n">
        <v>0</v>
      </c>
      <c r="H3" s="3" t="n">
        <v>700</v>
      </c>
      <c r="I3" s="3" t="n">
        <v>5</v>
      </c>
      <c r="J3" s="3" t="n">
        <v>3</v>
      </c>
      <c r="K3" s="3" t="n">
        <f aca="false">ROUND((F3/MAX(1,G3))*I3*(J3/5),0)</f>
        <v>3900</v>
      </c>
      <c r="L3" s="3" t="s">
        <v>26</v>
      </c>
      <c r="M3" s="3" t="s">
        <v>27</v>
      </c>
      <c r="N3" s="3" t="s">
        <v>28</v>
      </c>
      <c r="O3" s="3" t="s">
        <v>29</v>
      </c>
    </row>
    <row r="4" customFormat="false" ht="15" hidden="false" customHeight="true" outlineLevel="0" collapsed="false">
      <c r="A4" s="3" t="n">
        <v>3</v>
      </c>
      <c r="B4" s="3" t="s">
        <v>15</v>
      </c>
      <c r="C4" s="3" t="s">
        <v>16</v>
      </c>
      <c r="D4" s="3" t="s">
        <v>30</v>
      </c>
      <c r="E4" s="3" t="s">
        <v>31</v>
      </c>
      <c r="F4" s="3" t="n">
        <v>700</v>
      </c>
      <c r="G4" s="3" t="n">
        <v>1</v>
      </c>
      <c r="H4" s="3" t="n">
        <v>500</v>
      </c>
      <c r="I4" s="3" t="n">
        <v>5</v>
      </c>
      <c r="J4" s="3" t="n">
        <v>5</v>
      </c>
      <c r="K4" s="3" t="n">
        <f aca="false">ROUND((F4/MAX(1,G4))*I4*(J4/5),0)</f>
        <v>3500</v>
      </c>
      <c r="L4" s="3" t="s">
        <v>32</v>
      </c>
      <c r="M4" s="3" t="s">
        <v>33</v>
      </c>
      <c r="N4" s="3" t="s">
        <v>34</v>
      </c>
      <c r="O4" s="3" t="s">
        <v>35</v>
      </c>
    </row>
    <row r="5" customFormat="false" ht="15" hidden="false" customHeight="true" outlineLevel="0" collapsed="false">
      <c r="A5" s="3" t="n">
        <v>4</v>
      </c>
      <c r="B5" s="3" t="s">
        <v>23</v>
      </c>
      <c r="C5" s="3" t="s">
        <v>16</v>
      </c>
      <c r="D5" s="3" t="s">
        <v>36</v>
      </c>
      <c r="E5" s="3" t="s">
        <v>37</v>
      </c>
      <c r="F5" s="3" t="n">
        <v>1200</v>
      </c>
      <c r="G5" s="3" t="n">
        <v>2</v>
      </c>
      <c r="H5" s="3" t="n">
        <v>1000</v>
      </c>
      <c r="I5" s="3" t="n">
        <v>5</v>
      </c>
      <c r="J5" s="3" t="n">
        <v>4</v>
      </c>
      <c r="K5" s="3" t="n">
        <f aca="false">ROUND((F5/MAX(1,G5))*I5*(J5/5),0)</f>
        <v>2400</v>
      </c>
      <c r="L5" s="3" t="s">
        <v>26</v>
      </c>
      <c r="M5" s="3" t="s">
        <v>38</v>
      </c>
      <c r="N5" s="3" t="s">
        <v>39</v>
      </c>
      <c r="O5" s="3" t="s">
        <v>40</v>
      </c>
    </row>
    <row r="6" customFormat="false" ht="15" hidden="false" customHeight="true" outlineLevel="0" collapsed="false">
      <c r="A6" s="3" t="n">
        <v>5</v>
      </c>
      <c r="B6" s="3" t="s">
        <v>23</v>
      </c>
      <c r="C6" s="3" t="s">
        <v>16</v>
      </c>
      <c r="D6" s="3" t="s">
        <v>41</v>
      </c>
      <c r="E6" s="3" t="s">
        <v>42</v>
      </c>
      <c r="F6" s="3" t="n">
        <v>900</v>
      </c>
      <c r="G6" s="3" t="n">
        <v>2</v>
      </c>
      <c r="H6" s="3" t="n">
        <v>30</v>
      </c>
      <c r="I6" s="3" t="n">
        <v>5</v>
      </c>
      <c r="J6" s="3" t="n">
        <v>5</v>
      </c>
      <c r="K6" s="3" t="n">
        <f aca="false">ROUND((F6/MAX(1,G6))*I6*(J6/5),0)</f>
        <v>2250</v>
      </c>
      <c r="L6" s="3" t="s">
        <v>26</v>
      </c>
      <c r="M6" s="3" t="s">
        <v>43</v>
      </c>
      <c r="N6" s="3" t="s">
        <v>44</v>
      </c>
      <c r="O6" s="3" t="s">
        <v>45</v>
      </c>
    </row>
    <row r="7" customFormat="false" ht="15" hidden="false" customHeight="true" outlineLevel="0" collapsed="false">
      <c r="A7" s="3" t="n">
        <v>6</v>
      </c>
      <c r="B7" s="3" t="s">
        <v>23</v>
      </c>
      <c r="C7" s="3" t="s">
        <v>16</v>
      </c>
      <c r="D7" s="3" t="s">
        <v>46</v>
      </c>
      <c r="E7" s="3" t="s">
        <v>47</v>
      </c>
      <c r="F7" s="3" t="n">
        <v>700</v>
      </c>
      <c r="G7" s="3" t="n">
        <v>0</v>
      </c>
      <c r="H7" s="3" t="n">
        <v>500</v>
      </c>
      <c r="I7" s="3" t="n">
        <v>4</v>
      </c>
      <c r="J7" s="3" t="n">
        <v>4</v>
      </c>
      <c r="K7" s="3" t="n">
        <f aca="false">ROUND((F7/MAX(1,G7))*I7*(J7/5),0)</f>
        <v>2240</v>
      </c>
      <c r="L7" s="3" t="s">
        <v>19</v>
      </c>
      <c r="M7" s="3" t="s">
        <v>43</v>
      </c>
      <c r="N7" s="3" t="s">
        <v>48</v>
      </c>
      <c r="O7" s="3" t="s">
        <v>49</v>
      </c>
    </row>
    <row r="8" customFormat="false" ht="15" hidden="false" customHeight="true" outlineLevel="0" collapsed="false">
      <c r="A8" s="3" t="n">
        <v>7</v>
      </c>
      <c r="B8" s="3" t="s">
        <v>23</v>
      </c>
      <c r="C8" s="3" t="s">
        <v>16</v>
      </c>
      <c r="D8" s="3" t="s">
        <v>50</v>
      </c>
      <c r="E8" s="3" t="s">
        <v>51</v>
      </c>
      <c r="F8" s="3" t="n">
        <v>2400</v>
      </c>
      <c r="G8" s="3" t="n">
        <v>5</v>
      </c>
      <c r="H8" s="3" t="n">
        <v>6300</v>
      </c>
      <c r="I8" s="3" t="n">
        <v>5</v>
      </c>
      <c r="J8" s="3" t="n">
        <v>4</v>
      </c>
      <c r="K8" s="3" t="n">
        <f aca="false">ROUND((F8/MAX(1,G8))*I8*(J8/5),0)</f>
        <v>1920</v>
      </c>
      <c r="L8" s="3" t="s">
        <v>19</v>
      </c>
      <c r="M8" s="3" t="s">
        <v>33</v>
      </c>
      <c r="N8" s="3" t="s">
        <v>52</v>
      </c>
      <c r="O8" s="3" t="s">
        <v>53</v>
      </c>
    </row>
    <row r="9" customFormat="false" ht="15" hidden="false" customHeight="true" outlineLevel="0" collapsed="false">
      <c r="A9" s="3" t="n">
        <v>8</v>
      </c>
      <c r="B9" s="3" t="s">
        <v>15</v>
      </c>
      <c r="C9" s="3" t="s">
        <v>16</v>
      </c>
      <c r="D9" s="3" t="s">
        <v>54</v>
      </c>
      <c r="E9" s="3" t="s">
        <v>55</v>
      </c>
      <c r="F9" s="3" t="n">
        <v>350</v>
      </c>
      <c r="G9" s="3" t="n">
        <v>0</v>
      </c>
      <c r="H9" s="3" t="n">
        <v>1200</v>
      </c>
      <c r="I9" s="3" t="n">
        <v>5</v>
      </c>
      <c r="J9" s="3" t="n">
        <v>4</v>
      </c>
      <c r="K9" s="3" t="n">
        <f aca="false">ROUND((F9/MAX(1,G9))*I9*(J9/5),0)</f>
        <v>1400</v>
      </c>
      <c r="L9" s="3" t="s">
        <v>32</v>
      </c>
      <c r="M9" s="3" t="s">
        <v>33</v>
      </c>
      <c r="N9" s="3" t="s">
        <v>56</v>
      </c>
      <c r="O9" s="3" t="s">
        <v>57</v>
      </c>
    </row>
    <row r="10" customFormat="false" ht="15" hidden="false" customHeight="true" outlineLevel="0" collapsed="false">
      <c r="A10" s="3" t="n">
        <v>9</v>
      </c>
      <c r="B10" s="3" t="s">
        <v>23</v>
      </c>
      <c r="C10" s="3" t="s">
        <v>16</v>
      </c>
      <c r="D10" s="3" t="s">
        <v>58</v>
      </c>
      <c r="E10" s="3" t="s">
        <v>59</v>
      </c>
      <c r="F10" s="3" t="n">
        <v>450</v>
      </c>
      <c r="G10" s="3" t="n">
        <v>0</v>
      </c>
      <c r="H10" s="3" t="n">
        <v>2100</v>
      </c>
      <c r="I10" s="3" t="n">
        <v>5</v>
      </c>
      <c r="J10" s="3" t="n">
        <v>3</v>
      </c>
      <c r="K10" s="3" t="n">
        <f aca="false">ROUND((F10/MAX(1,G10))*I10*(J10/5),0)</f>
        <v>1350</v>
      </c>
      <c r="L10" s="3" t="s">
        <v>26</v>
      </c>
      <c r="M10" s="3" t="s">
        <v>43</v>
      </c>
      <c r="N10" s="3" t="s">
        <v>60</v>
      </c>
      <c r="O10" s="3" t="s">
        <v>61</v>
      </c>
    </row>
    <row r="11" customFormat="false" ht="15" hidden="false" customHeight="true" outlineLevel="0" collapsed="false">
      <c r="A11" s="3" t="n">
        <v>10</v>
      </c>
      <c r="B11" s="3" t="s">
        <v>15</v>
      </c>
      <c r="C11" s="3" t="s">
        <v>16</v>
      </c>
      <c r="D11" s="3" t="s">
        <v>62</v>
      </c>
      <c r="E11" s="3" t="s">
        <v>63</v>
      </c>
      <c r="F11" s="3" t="n">
        <v>250</v>
      </c>
      <c r="G11" s="3" t="n">
        <v>1</v>
      </c>
      <c r="H11" s="3" t="n">
        <v>600</v>
      </c>
      <c r="I11" s="3" t="n">
        <v>5</v>
      </c>
      <c r="J11" s="3" t="n">
        <v>5</v>
      </c>
      <c r="K11" s="3" t="n">
        <f aca="false">ROUND((F11/MAX(1,G11))*I11*(J11/5),0)</f>
        <v>1250</v>
      </c>
      <c r="L11" s="3" t="s">
        <v>32</v>
      </c>
      <c r="M11" s="3" t="s">
        <v>33</v>
      </c>
      <c r="N11" s="3" t="s">
        <v>64</v>
      </c>
      <c r="O11" s="3" t="s">
        <v>65</v>
      </c>
    </row>
    <row r="12" customFormat="false" ht="15" hidden="false" customHeight="true" outlineLevel="0" collapsed="false">
      <c r="A12" s="3" t="n">
        <v>11</v>
      </c>
      <c r="B12" s="3" t="s">
        <v>23</v>
      </c>
      <c r="C12" s="3" t="s">
        <v>66</v>
      </c>
      <c r="D12" s="3" t="s">
        <v>67</v>
      </c>
      <c r="E12" s="3" t="s">
        <v>68</v>
      </c>
      <c r="F12" s="3" t="n">
        <v>300</v>
      </c>
      <c r="G12" s="3" t="n">
        <v>0</v>
      </c>
      <c r="H12" s="3" t="n">
        <v>500</v>
      </c>
      <c r="I12" s="3" t="n">
        <v>5</v>
      </c>
      <c r="J12" s="3" t="n">
        <v>4</v>
      </c>
      <c r="K12" s="3" t="n">
        <f aca="false">ROUND((F12/MAX(1,G12))*I12*(J12/5),0)</f>
        <v>1200</v>
      </c>
      <c r="L12" s="3" t="s">
        <v>19</v>
      </c>
      <c r="M12" s="3" t="s">
        <v>33</v>
      </c>
      <c r="N12" s="3" t="s">
        <v>69</v>
      </c>
      <c r="O12" s="3" t="s">
        <v>70</v>
      </c>
    </row>
    <row r="13" customFormat="false" ht="15" hidden="false" customHeight="true" outlineLevel="0" collapsed="false">
      <c r="A13" s="3" t="n">
        <v>12</v>
      </c>
      <c r="B13" s="3" t="s">
        <v>15</v>
      </c>
      <c r="C13" s="3" t="s">
        <v>66</v>
      </c>
      <c r="D13" s="3" t="s">
        <v>71</v>
      </c>
      <c r="E13" s="3" t="s">
        <v>72</v>
      </c>
      <c r="F13" s="3" t="n">
        <v>350</v>
      </c>
      <c r="G13" s="3" t="n">
        <v>0</v>
      </c>
      <c r="H13" s="3" t="n">
        <v>250</v>
      </c>
      <c r="I13" s="3" t="n">
        <v>4</v>
      </c>
      <c r="J13" s="3" t="n">
        <v>4</v>
      </c>
      <c r="K13" s="3" t="n">
        <f aca="false">ROUND((F13/MAX(1,G13))*I13*(J13/5),0)</f>
        <v>1120</v>
      </c>
      <c r="L13" s="3" t="s">
        <v>26</v>
      </c>
      <c r="M13" s="3" t="s">
        <v>33</v>
      </c>
      <c r="N13" s="3" t="s">
        <v>73</v>
      </c>
      <c r="O13" s="3" t="s">
        <v>74</v>
      </c>
    </row>
    <row r="14" customFormat="false" ht="15" hidden="false" customHeight="true" outlineLevel="0" collapsed="false">
      <c r="A14" s="3" t="n">
        <v>13</v>
      </c>
      <c r="B14" s="3" t="s">
        <v>23</v>
      </c>
      <c r="C14" s="3" t="s">
        <v>66</v>
      </c>
      <c r="D14" s="3" t="s">
        <v>75</v>
      </c>
      <c r="E14" s="3" t="s">
        <v>76</v>
      </c>
      <c r="F14" s="3" t="n">
        <v>200</v>
      </c>
      <c r="G14" s="3" t="n">
        <v>0</v>
      </c>
      <c r="H14" s="3" t="n">
        <v>300</v>
      </c>
      <c r="I14" s="3" t="n">
        <v>5</v>
      </c>
      <c r="J14" s="3" t="n">
        <v>5</v>
      </c>
      <c r="K14" s="3" t="n">
        <f aca="false">ROUND((F14/MAX(1,G14))*I14*(J14/5),0)</f>
        <v>1000</v>
      </c>
      <c r="L14" s="3" t="s">
        <v>26</v>
      </c>
      <c r="M14" s="3" t="s">
        <v>33</v>
      </c>
      <c r="N14" s="3" t="s">
        <v>77</v>
      </c>
      <c r="O14" s="3" t="s">
        <v>78</v>
      </c>
    </row>
    <row r="15" customFormat="false" ht="15" hidden="false" customHeight="true" outlineLevel="0" collapsed="false">
      <c r="A15" s="3" t="n">
        <v>14</v>
      </c>
      <c r="B15" s="3" t="s">
        <v>23</v>
      </c>
      <c r="C15" s="3" t="s">
        <v>66</v>
      </c>
      <c r="D15" s="3" t="s">
        <v>79</v>
      </c>
      <c r="E15" s="3" t="s">
        <v>80</v>
      </c>
      <c r="F15" s="3" t="n">
        <v>200</v>
      </c>
      <c r="G15" s="3" t="n">
        <v>0</v>
      </c>
      <c r="H15" s="3" t="n">
        <v>250</v>
      </c>
      <c r="I15" s="3" t="n">
        <v>5</v>
      </c>
      <c r="J15" s="3" t="n">
        <v>4</v>
      </c>
      <c r="K15" s="3" t="n">
        <f aca="false">ROUND((F15/MAX(1,G15))*I15*(J15/5),0)</f>
        <v>800</v>
      </c>
      <c r="L15" s="3" t="s">
        <v>19</v>
      </c>
      <c r="M15" s="3" t="s">
        <v>81</v>
      </c>
      <c r="N15" s="3" t="s">
        <v>82</v>
      </c>
      <c r="O15" s="3" t="s">
        <v>83</v>
      </c>
    </row>
    <row r="16" customFormat="false" ht="15" hidden="false" customHeight="true" outlineLevel="0" collapsed="false">
      <c r="A16" s="3" t="n">
        <v>15</v>
      </c>
      <c r="B16" s="3" t="s">
        <v>23</v>
      </c>
      <c r="C16" s="3" t="s">
        <v>66</v>
      </c>
      <c r="D16" s="3" t="s">
        <v>84</v>
      </c>
      <c r="E16" s="3" t="s">
        <v>85</v>
      </c>
      <c r="F16" s="3" t="n">
        <v>150</v>
      </c>
      <c r="G16" s="3" t="n">
        <v>0</v>
      </c>
      <c r="H16" s="3" t="n">
        <v>4800</v>
      </c>
      <c r="I16" s="3" t="n">
        <v>5</v>
      </c>
      <c r="J16" s="3" t="n">
        <v>5</v>
      </c>
      <c r="K16" s="3" t="n">
        <f aca="false">ROUND((F16/MAX(1,G16))*I16*(J16/5),0)</f>
        <v>750</v>
      </c>
      <c r="L16" s="3" t="s">
        <v>32</v>
      </c>
      <c r="M16" s="3" t="s">
        <v>33</v>
      </c>
      <c r="N16" s="3" t="s">
        <v>86</v>
      </c>
      <c r="O16" s="3" t="s">
        <v>87</v>
      </c>
    </row>
    <row r="17" customFormat="false" ht="15" hidden="false" customHeight="true" outlineLevel="0" collapsed="false">
      <c r="A17" s="3" t="n">
        <v>16</v>
      </c>
      <c r="B17" s="3" t="s">
        <v>15</v>
      </c>
      <c r="C17" s="3" t="s">
        <v>66</v>
      </c>
      <c r="D17" s="3" t="s">
        <v>88</v>
      </c>
      <c r="E17" s="3" t="s">
        <v>89</v>
      </c>
      <c r="F17" s="3" t="n">
        <v>200</v>
      </c>
      <c r="G17" s="3" t="n">
        <v>0</v>
      </c>
      <c r="H17" s="3" t="n">
        <v>3500</v>
      </c>
      <c r="I17" s="3" t="n">
        <v>5</v>
      </c>
      <c r="J17" s="3" t="n">
        <v>4</v>
      </c>
      <c r="K17" s="3" t="n">
        <f aca="false">ROUND((F17/MAX(1,G17))*I17*(J17/5),0)</f>
        <v>800</v>
      </c>
      <c r="L17" s="3" t="s">
        <v>19</v>
      </c>
      <c r="M17" s="3" t="s">
        <v>33</v>
      </c>
      <c r="N17" s="3" t="s">
        <v>90</v>
      </c>
      <c r="O17" s="3" t="s">
        <v>91</v>
      </c>
    </row>
    <row r="18" customFormat="false" ht="15" hidden="false" customHeight="true" outlineLevel="0" collapsed="false">
      <c r="A18" s="3" t="n">
        <v>17</v>
      </c>
      <c r="B18" s="3" t="s">
        <v>15</v>
      </c>
      <c r="C18" s="3" t="s">
        <v>66</v>
      </c>
      <c r="D18" s="3" t="s">
        <v>92</v>
      </c>
      <c r="E18" s="3" t="s">
        <v>93</v>
      </c>
      <c r="F18" s="3" t="n">
        <v>700</v>
      </c>
      <c r="G18" s="3" t="n">
        <v>4</v>
      </c>
      <c r="H18" s="3" t="n">
        <v>3800</v>
      </c>
      <c r="I18" s="3" t="n">
        <v>5</v>
      </c>
      <c r="J18" s="3" t="n">
        <v>4</v>
      </c>
      <c r="K18" s="3" t="n">
        <f aca="false">ROUND((F18/MAX(1,G18))*I18*(J18/5),0)</f>
        <v>700</v>
      </c>
      <c r="L18" s="3" t="s">
        <v>26</v>
      </c>
      <c r="M18" s="3" t="s">
        <v>94</v>
      </c>
      <c r="N18" s="3" t="s">
        <v>95</v>
      </c>
      <c r="O18" s="3" t="s">
        <v>96</v>
      </c>
    </row>
    <row r="19" customFormat="false" ht="15" hidden="false" customHeight="true" outlineLevel="0" collapsed="false">
      <c r="A19" s="3" t="n">
        <v>18</v>
      </c>
      <c r="B19" s="3" t="s">
        <v>15</v>
      </c>
      <c r="C19" s="3" t="s">
        <v>66</v>
      </c>
      <c r="D19" s="3" t="s">
        <v>97</v>
      </c>
      <c r="E19" s="3" t="s">
        <v>98</v>
      </c>
      <c r="F19" s="3" t="n">
        <v>1600</v>
      </c>
      <c r="G19" s="3" t="n">
        <v>12</v>
      </c>
      <c r="H19" s="3" t="n">
        <v>7200</v>
      </c>
      <c r="I19" s="3" t="n">
        <v>5</v>
      </c>
      <c r="J19" s="3" t="n">
        <v>5</v>
      </c>
      <c r="K19" s="3" t="n">
        <f aca="false">ROUND((F19/MAX(1,G19))*I19*(J19/5),0)</f>
        <v>667</v>
      </c>
      <c r="L19" s="3" t="s">
        <v>26</v>
      </c>
      <c r="M19" s="3" t="s">
        <v>43</v>
      </c>
      <c r="N19" s="3" t="s">
        <v>99</v>
      </c>
      <c r="O19" s="3" t="s">
        <v>100</v>
      </c>
    </row>
    <row r="20" customFormat="false" ht="15" hidden="false" customHeight="true" outlineLevel="0" collapsed="false">
      <c r="A20" s="3" t="n">
        <v>19</v>
      </c>
      <c r="B20" s="3" t="s">
        <v>23</v>
      </c>
      <c r="C20" s="3" t="s">
        <v>66</v>
      </c>
      <c r="D20" s="3" t="s">
        <v>101</v>
      </c>
      <c r="E20" s="3" t="s">
        <v>102</v>
      </c>
      <c r="F20" s="3" t="n">
        <v>100</v>
      </c>
      <c r="G20" s="3" t="n">
        <v>0</v>
      </c>
      <c r="H20" s="3"/>
      <c r="I20" s="3" t="n">
        <v>5</v>
      </c>
      <c r="J20" s="3" t="n">
        <v>5</v>
      </c>
      <c r="K20" s="3" t="n">
        <f aca="false">ROUND((F20/MAX(1,G20))*I20*(J20/5),0)</f>
        <v>500</v>
      </c>
      <c r="L20" s="3" t="s">
        <v>26</v>
      </c>
      <c r="M20" s="3" t="s">
        <v>103</v>
      </c>
      <c r="N20" s="3" t="s">
        <v>104</v>
      </c>
      <c r="O20" s="3" t="s">
        <v>105</v>
      </c>
    </row>
    <row r="21" customFormat="false" ht="15" hidden="false" customHeight="true" outlineLevel="0" collapsed="false">
      <c r="A21" s="3" t="n">
        <v>20</v>
      </c>
      <c r="B21" s="3" t="s">
        <v>23</v>
      </c>
      <c r="C21" s="3" t="s">
        <v>66</v>
      </c>
      <c r="D21" s="3" t="s">
        <v>106</v>
      </c>
      <c r="E21" s="3" t="s">
        <v>107</v>
      </c>
      <c r="F21" s="3" t="n">
        <v>150</v>
      </c>
      <c r="G21" s="3" t="n">
        <v>1</v>
      </c>
      <c r="H21" s="3" t="n">
        <v>800</v>
      </c>
      <c r="I21" s="3" t="n">
        <v>5</v>
      </c>
      <c r="J21" s="3" t="n">
        <v>4</v>
      </c>
      <c r="K21" s="3" t="n">
        <f aca="false">ROUND((F21/MAX(1,G21))*I21*(J21/5),0)</f>
        <v>600</v>
      </c>
      <c r="L21" s="3" t="s">
        <v>26</v>
      </c>
      <c r="M21" s="3" t="s">
        <v>33</v>
      </c>
      <c r="N21" s="3" t="s">
        <v>108</v>
      </c>
      <c r="O21" s="3" t="s">
        <v>109</v>
      </c>
    </row>
    <row r="22" customFormat="false" ht="15" hidden="false" customHeight="true" outlineLevel="0" collapsed="false">
      <c r="A22" s="3" t="n">
        <v>21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n">
        <v>150</v>
      </c>
      <c r="G22" s="3" t="n">
        <v>1</v>
      </c>
      <c r="H22" s="3" t="n">
        <v>90</v>
      </c>
      <c r="I22" s="3" t="n">
        <v>5</v>
      </c>
      <c r="J22" s="3" t="n">
        <v>4</v>
      </c>
      <c r="K22" s="3" t="n">
        <f aca="false">ROUND((F22/MAX(1,G22))*I22*(J22/5),0)</f>
        <v>600</v>
      </c>
      <c r="L22" s="3" t="s">
        <v>26</v>
      </c>
      <c r="M22" s="3" t="s">
        <v>43</v>
      </c>
      <c r="N22" s="3" t="s">
        <v>114</v>
      </c>
      <c r="O22" s="3" t="s">
        <v>115</v>
      </c>
    </row>
    <row r="23" customFormat="false" ht="15" hidden="false" customHeight="true" outlineLevel="0" collapsed="false">
      <c r="A23" s="3" t="n">
        <v>22</v>
      </c>
      <c r="B23" s="3" t="s">
        <v>110</v>
      </c>
      <c r="C23" s="3" t="s">
        <v>111</v>
      </c>
      <c r="D23" s="3" t="s">
        <v>116</v>
      </c>
      <c r="E23" s="3" t="s">
        <v>117</v>
      </c>
      <c r="F23" s="3" t="n">
        <v>150</v>
      </c>
      <c r="G23" s="3" t="n">
        <v>1</v>
      </c>
      <c r="H23" s="3" t="n">
        <v>400</v>
      </c>
      <c r="I23" s="3" t="n">
        <v>5</v>
      </c>
      <c r="J23" s="3" t="n">
        <v>4</v>
      </c>
      <c r="K23" s="3" t="n">
        <f aca="false">ROUND((F23/MAX(1,G23))*I23*(J23/5),0)</f>
        <v>600</v>
      </c>
      <c r="L23" s="3" t="s">
        <v>32</v>
      </c>
      <c r="M23" s="3" t="s">
        <v>43</v>
      </c>
      <c r="N23" s="3" t="s">
        <v>118</v>
      </c>
      <c r="O23" s="3" t="s">
        <v>119</v>
      </c>
    </row>
    <row r="24" customFormat="false" ht="15" hidden="false" customHeight="true" outlineLevel="0" collapsed="false">
      <c r="A24" s="3" t="n">
        <v>23</v>
      </c>
      <c r="B24" s="3" t="s">
        <v>23</v>
      </c>
      <c r="C24" s="3" t="s">
        <v>111</v>
      </c>
      <c r="D24" s="3" t="s">
        <v>120</v>
      </c>
      <c r="E24" s="3" t="s">
        <v>121</v>
      </c>
      <c r="F24" s="3" t="n">
        <v>300</v>
      </c>
      <c r="G24" s="3" t="n">
        <v>2</v>
      </c>
      <c r="H24" s="3" t="n">
        <v>400</v>
      </c>
      <c r="I24" s="3" t="n">
        <v>5</v>
      </c>
      <c r="J24" s="3" t="n">
        <v>4</v>
      </c>
      <c r="K24" s="3" t="n">
        <f aca="false">ROUND((F24/MAX(1,G24))*I24*(J24/5),0)</f>
        <v>600</v>
      </c>
      <c r="L24" s="3" t="s">
        <v>19</v>
      </c>
      <c r="M24" s="3" t="s">
        <v>43</v>
      </c>
      <c r="N24" s="3" t="s">
        <v>82</v>
      </c>
      <c r="O24" s="3" t="s">
        <v>122</v>
      </c>
    </row>
    <row r="25" customFormat="false" ht="15" hidden="false" customHeight="true" outlineLevel="0" collapsed="false">
      <c r="A25" s="3" t="n">
        <v>24</v>
      </c>
      <c r="B25" s="3" t="s">
        <v>23</v>
      </c>
      <c r="C25" s="3" t="s">
        <v>111</v>
      </c>
      <c r="D25" s="3" t="s">
        <v>123</v>
      </c>
      <c r="E25" s="3" t="s">
        <v>124</v>
      </c>
      <c r="F25" s="3" t="n">
        <v>2200</v>
      </c>
      <c r="G25" s="3" t="n">
        <v>15</v>
      </c>
      <c r="H25" s="3" t="n">
        <v>2300</v>
      </c>
      <c r="I25" s="3" t="n">
        <v>5</v>
      </c>
      <c r="J25" s="3" t="n">
        <v>4</v>
      </c>
      <c r="K25" s="3" t="n">
        <f aca="false">ROUND((F25/MAX(1,G25))*I25*(J25/5),0)</f>
        <v>587</v>
      </c>
      <c r="L25" s="3" t="s">
        <v>26</v>
      </c>
      <c r="M25" s="3" t="s">
        <v>33</v>
      </c>
      <c r="N25" s="3" t="s">
        <v>125</v>
      </c>
      <c r="O25" s="3" t="s">
        <v>126</v>
      </c>
    </row>
    <row r="26" customFormat="false" ht="15" hidden="false" customHeight="true" outlineLevel="0" collapsed="false">
      <c r="A26" s="3" t="n">
        <v>25</v>
      </c>
      <c r="B26" s="3" t="s">
        <v>15</v>
      </c>
      <c r="C26" s="3" t="s">
        <v>111</v>
      </c>
      <c r="D26" s="3" t="s">
        <v>127</v>
      </c>
      <c r="E26" s="3" t="s">
        <v>128</v>
      </c>
      <c r="F26" s="3" t="n">
        <v>350</v>
      </c>
      <c r="G26" s="3" t="n">
        <v>2</v>
      </c>
      <c r="H26" s="3" t="n">
        <v>300</v>
      </c>
      <c r="I26" s="3" t="n">
        <v>5</v>
      </c>
      <c r="J26" s="3" t="n">
        <v>3</v>
      </c>
      <c r="K26" s="3" t="n">
        <f aca="false">ROUND((F26/MAX(1,G26))*I26*(J26/5),0)</f>
        <v>525</v>
      </c>
      <c r="L26" s="3" t="s">
        <v>26</v>
      </c>
      <c r="M26" s="3" t="s">
        <v>33</v>
      </c>
      <c r="N26" s="3" t="s">
        <v>129</v>
      </c>
      <c r="O26" s="3" t="s">
        <v>130</v>
      </c>
    </row>
    <row r="27" customFormat="false" ht="15" hidden="false" customHeight="true" outlineLevel="0" collapsed="false">
      <c r="A27" s="3" t="n">
        <v>26</v>
      </c>
      <c r="B27" s="3" t="s">
        <v>15</v>
      </c>
      <c r="C27" s="3" t="s">
        <v>111</v>
      </c>
      <c r="D27" s="3" t="s">
        <v>131</v>
      </c>
      <c r="E27" s="3" t="s">
        <v>132</v>
      </c>
      <c r="F27" s="3" t="n">
        <v>250</v>
      </c>
      <c r="G27" s="3" t="n">
        <v>2</v>
      </c>
      <c r="H27" s="3" t="n">
        <v>10000</v>
      </c>
      <c r="I27" s="3" t="n">
        <v>5</v>
      </c>
      <c r="J27" s="3" t="n">
        <v>4</v>
      </c>
      <c r="K27" s="3" t="n">
        <f aca="false">ROUND((F27/MAX(1,G27))*I27*(J27/5),0)</f>
        <v>500</v>
      </c>
      <c r="L27" s="3" t="s">
        <v>32</v>
      </c>
      <c r="M27" s="3" t="s">
        <v>33</v>
      </c>
      <c r="N27" s="3" t="s">
        <v>90</v>
      </c>
      <c r="O27" s="3" t="s">
        <v>133</v>
      </c>
    </row>
    <row r="28" customFormat="false" ht="15" hidden="false" customHeight="true" outlineLevel="0" collapsed="false">
      <c r="A28" s="3" t="n">
        <v>27</v>
      </c>
      <c r="B28" s="3" t="s">
        <v>134</v>
      </c>
      <c r="C28" s="3" t="s">
        <v>111</v>
      </c>
      <c r="D28" s="3" t="s">
        <v>135</v>
      </c>
      <c r="E28" s="3" t="s">
        <v>136</v>
      </c>
      <c r="F28" s="3" t="n">
        <v>200</v>
      </c>
      <c r="G28" s="3" t="n">
        <v>0</v>
      </c>
      <c r="H28" s="3" t="n">
        <v>250</v>
      </c>
      <c r="I28" s="3" t="n">
        <v>4</v>
      </c>
      <c r="J28" s="3" t="n">
        <v>3</v>
      </c>
      <c r="K28" s="3" t="n">
        <f aca="false">ROUND((F28/MAX(1,G28))*I28*(J28/5),0)</f>
        <v>480</v>
      </c>
      <c r="L28" s="3" t="s">
        <v>19</v>
      </c>
      <c r="M28" s="3" t="s">
        <v>43</v>
      </c>
      <c r="N28" s="3" t="s">
        <v>137</v>
      </c>
      <c r="O28" s="3" t="s">
        <v>138</v>
      </c>
    </row>
    <row r="29" customFormat="false" ht="15" hidden="false" customHeight="true" outlineLevel="0" collapsed="false">
      <c r="A29" s="3" t="n">
        <v>28</v>
      </c>
      <c r="B29" s="3" t="s">
        <v>15</v>
      </c>
      <c r="C29" s="3" t="s">
        <v>111</v>
      </c>
      <c r="D29" s="3" t="s">
        <v>139</v>
      </c>
      <c r="E29" s="3" t="s">
        <v>140</v>
      </c>
      <c r="F29" s="3" t="n">
        <v>2100</v>
      </c>
      <c r="G29" s="3" t="n">
        <v>18</v>
      </c>
      <c r="H29" s="3" t="n">
        <v>1200</v>
      </c>
      <c r="I29" s="3" t="n">
        <v>5</v>
      </c>
      <c r="J29" s="3" t="n">
        <v>4</v>
      </c>
      <c r="K29" s="3" t="n">
        <f aca="false">ROUND((F29/MAX(1,G29))*I29*(J29/5),0)</f>
        <v>467</v>
      </c>
      <c r="L29" s="3" t="s">
        <v>19</v>
      </c>
      <c r="M29" s="3" t="s">
        <v>141</v>
      </c>
      <c r="N29" s="3" t="s">
        <v>90</v>
      </c>
      <c r="O29" s="3" t="s">
        <v>142</v>
      </c>
    </row>
    <row r="30" customFormat="false" ht="15" hidden="false" customHeight="true" outlineLevel="0" collapsed="false">
      <c r="A30" s="3" t="n">
        <v>29</v>
      </c>
      <c r="B30" s="3" t="s">
        <v>15</v>
      </c>
      <c r="C30" s="3" t="s">
        <v>111</v>
      </c>
      <c r="D30" s="3" t="s">
        <v>143</v>
      </c>
      <c r="E30" s="3" t="s">
        <v>144</v>
      </c>
      <c r="F30" s="3" t="n">
        <v>250</v>
      </c>
      <c r="G30" s="3" t="n">
        <v>1</v>
      </c>
      <c r="H30" s="3" t="n">
        <v>100</v>
      </c>
      <c r="I30" s="3" t="n">
        <v>3</v>
      </c>
      <c r="J30" s="3" t="n">
        <v>3</v>
      </c>
      <c r="K30" s="3" t="n">
        <f aca="false">ROUND((F30/MAX(1,G30))*I30*(J30/5),0)</f>
        <v>450</v>
      </c>
      <c r="L30" s="3" t="s">
        <v>145</v>
      </c>
      <c r="M30" s="3" t="s">
        <v>33</v>
      </c>
      <c r="N30" s="3" t="s">
        <v>114</v>
      </c>
      <c r="O30" s="3" t="s">
        <v>146</v>
      </c>
    </row>
    <row r="31" customFormat="false" ht="15" hidden="false" customHeight="true" outlineLevel="0" collapsed="false">
      <c r="A31" s="3" t="n">
        <v>30</v>
      </c>
      <c r="B31" s="3" t="s">
        <v>110</v>
      </c>
      <c r="C31" s="3" t="s">
        <v>111</v>
      </c>
      <c r="D31" s="3" t="s">
        <v>147</v>
      </c>
      <c r="E31" s="3" t="s">
        <v>148</v>
      </c>
      <c r="F31" s="3" t="n">
        <v>1300</v>
      </c>
      <c r="G31" s="3" t="n">
        <v>9</v>
      </c>
      <c r="H31" s="3" t="n">
        <v>1400</v>
      </c>
      <c r="I31" s="3" t="n">
        <v>3</v>
      </c>
      <c r="J31" s="3" t="n">
        <v>5</v>
      </c>
      <c r="K31" s="3" t="n">
        <f aca="false">ROUND((F31/MAX(1,G31))*I31*(J31/5),0)</f>
        <v>433</v>
      </c>
      <c r="L31" s="3" t="s">
        <v>26</v>
      </c>
      <c r="M31" s="3" t="s">
        <v>33</v>
      </c>
      <c r="N31" s="3" t="s">
        <v>99</v>
      </c>
      <c r="O31" s="3" t="s">
        <v>149</v>
      </c>
    </row>
    <row r="32" customFormat="false" ht="15" hidden="false" customHeight="true" outlineLevel="0" collapsed="false">
      <c r="A32" s="3" t="n">
        <v>31</v>
      </c>
      <c r="B32" s="3" t="s">
        <v>110</v>
      </c>
      <c r="C32" s="3" t="s">
        <v>111</v>
      </c>
      <c r="D32" s="3" t="s">
        <v>150</v>
      </c>
      <c r="E32" s="3" t="s">
        <v>151</v>
      </c>
      <c r="F32" s="3" t="n">
        <v>1000</v>
      </c>
      <c r="G32" s="3" t="n">
        <v>8</v>
      </c>
      <c r="H32" s="3" t="n">
        <v>2000</v>
      </c>
      <c r="I32" s="3" t="n">
        <v>4</v>
      </c>
      <c r="J32" s="3" t="n">
        <v>4</v>
      </c>
      <c r="K32" s="3" t="n">
        <f aca="false">ROUND((F32/MAX(1,G32))*I32*(J32/5),0)</f>
        <v>400</v>
      </c>
      <c r="L32" s="3" t="s">
        <v>32</v>
      </c>
      <c r="M32" s="3" t="s">
        <v>33</v>
      </c>
      <c r="N32" s="3" t="s">
        <v>152</v>
      </c>
      <c r="O32" s="3" t="s">
        <v>153</v>
      </c>
    </row>
    <row r="33" customFormat="false" ht="15" hidden="false" customHeight="true" outlineLevel="0" collapsed="false">
      <c r="A33" s="3" t="n">
        <v>32</v>
      </c>
      <c r="B33" s="3" t="s">
        <v>23</v>
      </c>
      <c r="C33" s="3" t="s">
        <v>111</v>
      </c>
      <c r="D33" s="3" t="s">
        <v>154</v>
      </c>
      <c r="E33" s="3" t="s">
        <v>155</v>
      </c>
      <c r="F33" s="3" t="n">
        <v>80</v>
      </c>
      <c r="G33" s="3" t="n">
        <v>0</v>
      </c>
      <c r="H33" s="3" t="n">
        <v>150</v>
      </c>
      <c r="I33" s="3" t="n">
        <v>5</v>
      </c>
      <c r="J33" s="3" t="n">
        <v>5</v>
      </c>
      <c r="K33" s="3" t="n">
        <f aca="false">ROUND((F33/MAX(1,G33))*I33*(J33/5),0)</f>
        <v>400</v>
      </c>
      <c r="L33" s="3" t="s">
        <v>26</v>
      </c>
      <c r="M33" s="3" t="s">
        <v>33</v>
      </c>
      <c r="N33" s="3" t="s">
        <v>156</v>
      </c>
      <c r="O33" s="3" t="s">
        <v>157</v>
      </c>
    </row>
    <row r="34" customFormat="false" ht="15" hidden="false" customHeight="true" outlineLevel="0" collapsed="false">
      <c r="A34" s="3" t="n">
        <v>33</v>
      </c>
      <c r="B34" s="3" t="s">
        <v>15</v>
      </c>
      <c r="C34" s="3" t="s">
        <v>111</v>
      </c>
      <c r="D34" s="3" t="s">
        <v>158</v>
      </c>
      <c r="E34" s="3" t="s">
        <v>159</v>
      </c>
      <c r="F34" s="3" t="n">
        <v>150</v>
      </c>
      <c r="G34" s="3" t="n">
        <v>2</v>
      </c>
      <c r="H34" s="3" t="n">
        <v>150</v>
      </c>
      <c r="I34" s="3" t="n">
        <v>5</v>
      </c>
      <c r="J34" s="3" t="n">
        <v>5</v>
      </c>
      <c r="K34" s="3" t="n">
        <f aca="false">ROUND((F34/MAX(1,G34))*I34*(J34/5),0)</f>
        <v>375</v>
      </c>
      <c r="L34" s="3" t="s">
        <v>26</v>
      </c>
      <c r="M34" s="3" t="s">
        <v>33</v>
      </c>
      <c r="N34" s="3" t="s">
        <v>160</v>
      </c>
      <c r="O34" s="3" t="s">
        <v>161</v>
      </c>
    </row>
    <row r="35" customFormat="false" ht="15" hidden="false" customHeight="true" outlineLevel="0" collapsed="false">
      <c r="A35" s="3" t="n">
        <v>34</v>
      </c>
      <c r="B35" s="3" t="s">
        <v>15</v>
      </c>
      <c r="C35" s="3" t="s">
        <v>111</v>
      </c>
      <c r="D35" s="3" t="s">
        <v>162</v>
      </c>
      <c r="E35" s="3" t="s">
        <v>163</v>
      </c>
      <c r="F35" s="3" t="n">
        <v>350</v>
      </c>
      <c r="G35" s="3" t="n">
        <v>3</v>
      </c>
      <c r="H35" s="3" t="n">
        <v>4000</v>
      </c>
      <c r="I35" s="3" t="n">
        <v>5</v>
      </c>
      <c r="J35" s="3" t="n">
        <v>3</v>
      </c>
      <c r="K35" s="3" t="n">
        <f aca="false">ROUND((F35/MAX(1,G35))*I35*(J35/5),0)</f>
        <v>350</v>
      </c>
      <c r="L35" s="3" t="s">
        <v>19</v>
      </c>
      <c r="M35" s="3" t="s">
        <v>81</v>
      </c>
      <c r="N35" s="3" t="s">
        <v>164</v>
      </c>
      <c r="O35" s="3" t="s">
        <v>165</v>
      </c>
    </row>
    <row r="36" customFormat="false" ht="15" hidden="false" customHeight="true" outlineLevel="0" collapsed="false">
      <c r="A36" s="3" t="n">
        <v>35</v>
      </c>
      <c r="B36" s="3" t="s">
        <v>23</v>
      </c>
      <c r="C36" s="3" t="s">
        <v>111</v>
      </c>
      <c r="D36" s="3" t="s">
        <v>166</v>
      </c>
      <c r="E36" s="3" t="s">
        <v>167</v>
      </c>
      <c r="F36" s="3" t="n">
        <v>250</v>
      </c>
      <c r="G36" s="3" t="n">
        <v>4</v>
      </c>
      <c r="H36" s="3" t="n">
        <v>450</v>
      </c>
      <c r="I36" s="3" t="n">
        <v>5</v>
      </c>
      <c r="J36" s="3" t="n">
        <v>5</v>
      </c>
      <c r="K36" s="3" t="n">
        <f aca="false">ROUND((F36/MAX(1,G36))*I36*(J36/5),0)</f>
        <v>313</v>
      </c>
      <c r="L36" s="3" t="s">
        <v>26</v>
      </c>
      <c r="M36" s="3" t="s">
        <v>168</v>
      </c>
      <c r="N36" s="3" t="s">
        <v>160</v>
      </c>
      <c r="O36" s="3" t="s">
        <v>169</v>
      </c>
    </row>
    <row r="37" customFormat="false" ht="15" hidden="false" customHeight="true" outlineLevel="0" collapsed="false">
      <c r="A37" s="3" t="n">
        <v>36</v>
      </c>
      <c r="B37" s="3" t="s">
        <v>110</v>
      </c>
      <c r="C37" s="3" t="s">
        <v>111</v>
      </c>
      <c r="D37" s="3" t="s">
        <v>170</v>
      </c>
      <c r="E37" s="3" t="s">
        <v>171</v>
      </c>
      <c r="F37" s="3" t="n">
        <v>300</v>
      </c>
      <c r="G37" s="3" t="n">
        <v>3</v>
      </c>
      <c r="H37" s="3" t="n">
        <v>600</v>
      </c>
      <c r="I37" s="3" t="n">
        <v>5</v>
      </c>
      <c r="J37" s="3" t="n">
        <v>3</v>
      </c>
      <c r="K37" s="3" t="n">
        <f aca="false">ROUND((F37/MAX(1,G37))*I37*(J37/5),0)</f>
        <v>300</v>
      </c>
      <c r="L37" s="3" t="s">
        <v>19</v>
      </c>
      <c r="M37" s="3" t="s">
        <v>43</v>
      </c>
      <c r="N37" s="3" t="s">
        <v>172</v>
      </c>
      <c r="O37" s="3" t="s">
        <v>173</v>
      </c>
    </row>
    <row r="38" customFormat="false" ht="15" hidden="false" customHeight="true" outlineLevel="0" collapsed="false">
      <c r="A38" s="3" t="n">
        <v>37</v>
      </c>
      <c r="B38" s="3" t="s">
        <v>23</v>
      </c>
      <c r="C38" s="3" t="s">
        <v>111</v>
      </c>
      <c r="D38" s="3" t="s">
        <v>174</v>
      </c>
      <c r="E38" s="3" t="s">
        <v>175</v>
      </c>
      <c r="F38" s="3" t="n">
        <v>80</v>
      </c>
      <c r="G38" s="3" t="n">
        <v>0</v>
      </c>
      <c r="H38" s="3" t="n">
        <v>60</v>
      </c>
      <c r="I38" s="3" t="n">
        <v>4</v>
      </c>
      <c r="J38" s="3" t="n">
        <v>5</v>
      </c>
      <c r="K38" s="3" t="n">
        <f aca="false">ROUND((F38/MAX(1,G38))*I38*(J38/5),0)</f>
        <v>320</v>
      </c>
      <c r="L38" s="3" t="s">
        <v>176</v>
      </c>
      <c r="M38" s="3" t="s">
        <v>43</v>
      </c>
      <c r="N38" s="3" t="s">
        <v>160</v>
      </c>
      <c r="O38" s="3" t="s">
        <v>177</v>
      </c>
    </row>
    <row r="39" customFormat="false" ht="15" hidden="false" customHeight="true" outlineLevel="0" collapsed="false">
      <c r="A39" s="3" t="n">
        <v>38</v>
      </c>
      <c r="B39" s="3" t="s">
        <v>134</v>
      </c>
      <c r="C39" s="3" t="s">
        <v>178</v>
      </c>
      <c r="D39" s="3" t="s">
        <v>179</v>
      </c>
      <c r="E39" s="3" t="s">
        <v>180</v>
      </c>
      <c r="F39" s="3" t="n">
        <v>14000</v>
      </c>
      <c r="G39" s="3" t="n">
        <v>38</v>
      </c>
      <c r="H39" s="3" t="n">
        <v>15000</v>
      </c>
      <c r="I39" s="3" t="n">
        <v>3</v>
      </c>
      <c r="J39" s="3" t="n">
        <v>3</v>
      </c>
      <c r="K39" s="3" t="n">
        <f aca="false">ROUND((F39/MAX(1,G39))*I39*(J39/5),0)</f>
        <v>663</v>
      </c>
      <c r="L39" s="3" t="s">
        <v>145</v>
      </c>
      <c r="M39" s="3" t="s">
        <v>103</v>
      </c>
      <c r="N39" s="3" t="s">
        <v>181</v>
      </c>
      <c r="O39" s="3" t="s">
        <v>182</v>
      </c>
    </row>
    <row r="40" customFormat="false" ht="15" hidden="false" customHeight="true" outlineLevel="0" collapsed="false">
      <c r="A40" s="3" t="n">
        <v>39</v>
      </c>
      <c r="B40" s="3" t="s">
        <v>134</v>
      </c>
      <c r="C40" s="3" t="s">
        <v>178</v>
      </c>
      <c r="D40" s="3" t="s">
        <v>183</v>
      </c>
      <c r="E40" s="3" t="s">
        <v>184</v>
      </c>
      <c r="F40" s="3" t="n">
        <v>2900</v>
      </c>
      <c r="G40" s="3" t="n">
        <v>24</v>
      </c>
      <c r="H40" s="3" t="n">
        <v>28000</v>
      </c>
      <c r="I40" s="3" t="n">
        <v>3</v>
      </c>
      <c r="J40" s="3" t="n">
        <v>4</v>
      </c>
      <c r="K40" s="3" t="n">
        <f aca="false">ROUND((F40/MAX(1,G40))*I40*(J40/5),0)</f>
        <v>290</v>
      </c>
      <c r="L40" s="3" t="s">
        <v>145</v>
      </c>
      <c r="M40" s="3" t="s">
        <v>43</v>
      </c>
      <c r="N40" s="3" t="s">
        <v>114</v>
      </c>
      <c r="O40" s="3" t="s">
        <v>185</v>
      </c>
    </row>
    <row r="41" customFormat="false" ht="15" hidden="false" customHeight="true" outlineLevel="0" collapsed="false">
      <c r="A41" s="3" t="n">
        <v>40</v>
      </c>
      <c r="B41" s="3" t="s">
        <v>23</v>
      </c>
      <c r="C41" s="3" t="s">
        <v>178</v>
      </c>
      <c r="D41" s="3" t="s">
        <v>186</v>
      </c>
      <c r="E41" s="3" t="s">
        <v>187</v>
      </c>
      <c r="F41" s="3" t="n">
        <v>120</v>
      </c>
      <c r="G41" s="3" t="n">
        <v>8</v>
      </c>
      <c r="H41" s="3"/>
      <c r="I41" s="3" t="n">
        <v>5</v>
      </c>
      <c r="J41" s="3" t="n">
        <v>5</v>
      </c>
      <c r="K41" s="3" t="n">
        <f aca="false">ROUND((F41/MAX(1,G41))*I41*(J41/5),0)</f>
        <v>75</v>
      </c>
      <c r="L41" s="3" t="s">
        <v>19</v>
      </c>
      <c r="M41" s="3" t="s">
        <v>43</v>
      </c>
      <c r="N41" s="3" t="s">
        <v>188</v>
      </c>
      <c r="O41" s="3" t="s">
        <v>189</v>
      </c>
    </row>
    <row r="42" customFormat="false" ht="15" hidden="false" customHeight="true" outlineLevel="0" collapsed="false">
      <c r="A42" s="3" t="n">
        <v>41</v>
      </c>
      <c r="B42" s="3" t="s">
        <v>15</v>
      </c>
      <c r="C42" s="3" t="s">
        <v>178</v>
      </c>
      <c r="D42" s="3" t="s">
        <v>190</v>
      </c>
      <c r="E42" s="3" t="s">
        <v>191</v>
      </c>
      <c r="F42" s="3" t="n">
        <v>200</v>
      </c>
      <c r="G42" s="3" t="n">
        <v>20</v>
      </c>
      <c r="H42" s="3"/>
      <c r="I42" s="3" t="n">
        <v>5</v>
      </c>
      <c r="J42" s="3" t="n">
        <v>2</v>
      </c>
      <c r="K42" s="3" t="n">
        <f aca="false">ROUND((F42/MAX(1,G42))*I42*(J42/5),0)</f>
        <v>20</v>
      </c>
      <c r="L42" s="3" t="s">
        <v>26</v>
      </c>
      <c r="M42" s="3" t="s">
        <v>43</v>
      </c>
      <c r="N42" s="3" t="s">
        <v>192</v>
      </c>
      <c r="O42" s="3" t="s">
        <v>193</v>
      </c>
    </row>
    <row r="43" customFormat="false" ht="15" hidden="false" customHeight="true" outlineLevel="0" collapsed="false">
      <c r="A43" s="3" t="n">
        <v>42</v>
      </c>
      <c r="B43" s="3" t="s">
        <v>23</v>
      </c>
      <c r="C43" s="3" t="s">
        <v>178</v>
      </c>
      <c r="D43" s="3" t="s">
        <v>194</v>
      </c>
      <c r="E43" s="3" t="s">
        <v>195</v>
      </c>
      <c r="F43" s="3" t="n">
        <v>700</v>
      </c>
      <c r="G43" s="3" t="n">
        <v>9</v>
      </c>
      <c r="H43" s="3" t="n">
        <v>700</v>
      </c>
      <c r="I43" s="3" t="n">
        <v>4</v>
      </c>
      <c r="J43" s="3" t="n">
        <v>4</v>
      </c>
      <c r="K43" s="3" t="n">
        <f aca="false">ROUND((F43/MAX(1,G43))*I43*(J43/5),0)</f>
        <v>249</v>
      </c>
      <c r="L43" s="3" t="s">
        <v>19</v>
      </c>
      <c r="M43" s="3" t="s">
        <v>103</v>
      </c>
      <c r="N43" s="3" t="s">
        <v>114</v>
      </c>
      <c r="O43" s="3" t="s">
        <v>196</v>
      </c>
    </row>
    <row r="44" customFormat="false" ht="15" hidden="false" customHeight="true" outlineLevel="0" collapsed="false">
      <c r="A44" s="3" t="n">
        <v>43</v>
      </c>
      <c r="B44" s="3" t="s">
        <v>15</v>
      </c>
      <c r="C44" s="3" t="s">
        <v>178</v>
      </c>
      <c r="D44" s="3" t="s">
        <v>197</v>
      </c>
      <c r="E44" s="3" t="s">
        <v>198</v>
      </c>
      <c r="F44" s="3" t="n">
        <v>1300</v>
      </c>
      <c r="G44" s="3" t="n">
        <v>26</v>
      </c>
      <c r="H44" s="3" t="n">
        <v>700</v>
      </c>
      <c r="I44" s="3" t="n">
        <v>5</v>
      </c>
      <c r="J44" s="3" t="n">
        <v>3</v>
      </c>
      <c r="K44" s="3" t="n">
        <f aca="false">ROUND((F44/MAX(1,G44))*I44*(J44/5),0)</f>
        <v>150</v>
      </c>
      <c r="L44" s="3" t="s">
        <v>26</v>
      </c>
      <c r="M44" s="3" t="s">
        <v>103</v>
      </c>
      <c r="N44" s="3" t="s">
        <v>199</v>
      </c>
      <c r="O44" s="3" t="s">
        <v>200</v>
      </c>
    </row>
    <row r="45" customFormat="false" ht="15" hidden="false" customHeight="true" outlineLevel="0" collapsed="false">
      <c r="A45" s="3" t="n">
        <v>44</v>
      </c>
      <c r="B45" s="3" t="s">
        <v>134</v>
      </c>
      <c r="C45" s="3" t="s">
        <v>178</v>
      </c>
      <c r="D45" s="3" t="s">
        <v>201</v>
      </c>
      <c r="E45" s="3" t="s">
        <v>202</v>
      </c>
      <c r="F45" s="3" t="n">
        <v>300</v>
      </c>
      <c r="G45" s="3" t="n">
        <v>4</v>
      </c>
      <c r="H45" s="3" t="n">
        <v>350</v>
      </c>
      <c r="I45" s="3" t="n">
        <v>5</v>
      </c>
      <c r="J45" s="3" t="n">
        <v>3</v>
      </c>
      <c r="K45" s="3" t="n">
        <f aca="false">ROUND((F45/MAX(1,G45))*I45*(J45/5),0)</f>
        <v>225</v>
      </c>
      <c r="L45" s="3" t="s">
        <v>32</v>
      </c>
      <c r="M45" s="3" t="s">
        <v>33</v>
      </c>
      <c r="N45" s="3" t="s">
        <v>90</v>
      </c>
      <c r="O45" s="3" t="s">
        <v>203</v>
      </c>
    </row>
    <row r="46" customFormat="false" ht="15" hidden="false" customHeight="true" outlineLevel="0" collapsed="false">
      <c r="A46" s="3" t="n">
        <v>45</v>
      </c>
      <c r="B46" s="3" t="s">
        <v>15</v>
      </c>
      <c r="C46" s="3" t="s">
        <v>178</v>
      </c>
      <c r="D46" s="3" t="s">
        <v>204</v>
      </c>
      <c r="E46" s="3" t="s">
        <v>205</v>
      </c>
      <c r="F46" s="3" t="n">
        <v>700</v>
      </c>
      <c r="G46" s="3" t="n">
        <v>18</v>
      </c>
      <c r="H46" s="3" t="n">
        <v>1400</v>
      </c>
      <c r="I46" s="3" t="n">
        <v>4</v>
      </c>
      <c r="J46" s="3" t="n">
        <v>4</v>
      </c>
      <c r="K46" s="3" t="n">
        <f aca="false">ROUND((F46/MAX(1,G46))*I46*(J46/5),0)</f>
        <v>124</v>
      </c>
      <c r="L46" s="3" t="s">
        <v>26</v>
      </c>
      <c r="M46" s="3" t="s">
        <v>206</v>
      </c>
      <c r="N46" s="3" t="s">
        <v>207</v>
      </c>
      <c r="O46" s="3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28"/>
  </cols>
  <sheetData>
    <row r="1" customFormat="false" ht="15" hidden="false" customHeight="true" outlineLevel="0" collapsed="false">
      <c r="A1" s="2" t="s">
        <v>209</v>
      </c>
      <c r="B1" s="2" t="s">
        <v>210</v>
      </c>
      <c r="C1" s="2" t="s">
        <v>211</v>
      </c>
      <c r="D1" s="2" t="s">
        <v>212</v>
      </c>
    </row>
    <row r="2" customFormat="false" ht="15" hidden="false" customHeight="true" outlineLevel="0" collapsed="false">
      <c r="A2" s="3" t="s">
        <v>213</v>
      </c>
      <c r="B2" s="3" t="s">
        <v>214</v>
      </c>
      <c r="C2" s="3" t="s">
        <v>215</v>
      </c>
      <c r="D2" s="3" t="s">
        <v>216</v>
      </c>
    </row>
    <row r="3" customFormat="false" ht="15" hidden="false" customHeight="true" outlineLevel="0" collapsed="false">
      <c r="A3" s="3" t="s">
        <v>217</v>
      </c>
      <c r="B3" s="3" t="s">
        <v>218</v>
      </c>
      <c r="C3" s="3" t="s">
        <v>215</v>
      </c>
      <c r="D3" s="3" t="s">
        <v>216</v>
      </c>
    </row>
    <row r="4" customFormat="false" ht="15" hidden="false" customHeight="true" outlineLevel="0" collapsed="false">
      <c r="A4" s="3" t="s">
        <v>219</v>
      </c>
      <c r="B4" s="3" t="s">
        <v>220</v>
      </c>
      <c r="C4" s="3" t="s">
        <v>215</v>
      </c>
      <c r="D4" s="3" t="s">
        <v>216</v>
      </c>
    </row>
    <row r="5" customFormat="false" ht="15" hidden="false" customHeight="true" outlineLevel="0" collapsed="false">
      <c r="A5" s="3" t="s">
        <v>221</v>
      </c>
      <c r="B5" s="3" t="s">
        <v>222</v>
      </c>
      <c r="C5" s="3" t="s">
        <v>215</v>
      </c>
      <c r="D5" s="3" t="s">
        <v>216</v>
      </c>
    </row>
    <row r="6" customFormat="false" ht="15" hidden="false" customHeight="true" outlineLevel="0" collapsed="false">
      <c r="A6" s="3" t="s">
        <v>223</v>
      </c>
      <c r="B6" s="3" t="s">
        <v>224</v>
      </c>
      <c r="C6" s="3" t="s">
        <v>215</v>
      </c>
      <c r="D6" s="3" t="s">
        <v>216</v>
      </c>
    </row>
    <row r="7" customFormat="false" ht="15" hidden="false" customHeight="true" outlineLevel="0" collapsed="false">
      <c r="A7" s="3" t="s">
        <v>225</v>
      </c>
      <c r="B7" s="3" t="s">
        <v>226</v>
      </c>
      <c r="C7" s="3" t="s">
        <v>215</v>
      </c>
      <c r="D7" s="3" t="s">
        <v>216</v>
      </c>
    </row>
    <row r="8" customFormat="false" ht="15" hidden="false" customHeight="true" outlineLevel="0" collapsed="false">
      <c r="A8" s="3" t="s">
        <v>227</v>
      </c>
      <c r="B8" s="3" t="s">
        <v>228</v>
      </c>
      <c r="C8" s="3" t="s">
        <v>215</v>
      </c>
      <c r="D8" s="3" t="s">
        <v>216</v>
      </c>
    </row>
    <row r="9" customFormat="false" ht="15" hidden="false" customHeight="true" outlineLevel="0" collapsed="false">
      <c r="A9" s="3" t="s">
        <v>229</v>
      </c>
      <c r="B9" s="3" t="s">
        <v>230</v>
      </c>
      <c r="C9" s="3" t="s">
        <v>215</v>
      </c>
      <c r="D9" s="3" t="s">
        <v>216</v>
      </c>
    </row>
    <row r="10" customFormat="false" ht="15" hidden="false" customHeight="true" outlineLevel="0" collapsed="false">
      <c r="A10" s="3" t="s">
        <v>231</v>
      </c>
      <c r="B10" s="3" t="s">
        <v>232</v>
      </c>
      <c r="C10" s="3" t="s">
        <v>215</v>
      </c>
      <c r="D10" s="3" t="s">
        <v>216</v>
      </c>
    </row>
    <row r="11" customFormat="false" ht="15" hidden="false" customHeight="true" outlineLevel="0" collapsed="false">
      <c r="A11" s="3" t="s">
        <v>233</v>
      </c>
      <c r="B11" s="3" t="s">
        <v>234</v>
      </c>
      <c r="C11" s="3" t="s">
        <v>215</v>
      </c>
      <c r="D11" s="3" t="s">
        <v>216</v>
      </c>
    </row>
    <row r="12" customFormat="false" ht="15" hidden="false" customHeight="true" outlineLevel="0" collapsed="false">
      <c r="A12" s="3" t="s">
        <v>235</v>
      </c>
      <c r="B12" s="3" t="s">
        <v>236</v>
      </c>
      <c r="C12" s="3" t="s">
        <v>215</v>
      </c>
      <c r="D12" s="3" t="s">
        <v>216</v>
      </c>
    </row>
    <row r="13" customFormat="false" ht="15" hidden="false" customHeight="true" outlineLevel="0" collapsed="false">
      <c r="A13" s="3" t="s">
        <v>237</v>
      </c>
      <c r="B13" s="3" t="s">
        <v>238</v>
      </c>
      <c r="C13" s="3" t="s">
        <v>215</v>
      </c>
      <c r="D13" s="3" t="s">
        <v>216</v>
      </c>
    </row>
    <row r="14" customFormat="false" ht="15" hidden="false" customHeight="true" outlineLevel="0" collapsed="false">
      <c r="A14" s="3" t="s">
        <v>239</v>
      </c>
      <c r="B14" s="3" t="s">
        <v>240</v>
      </c>
      <c r="C14" s="3" t="s">
        <v>215</v>
      </c>
      <c r="D14" s="3" t="s">
        <v>216</v>
      </c>
    </row>
    <row r="15" customFormat="false" ht="15" hidden="false" customHeight="true" outlineLevel="0" collapsed="false">
      <c r="A15" s="3" t="s">
        <v>241</v>
      </c>
      <c r="B15" s="3" t="s">
        <v>242</v>
      </c>
      <c r="C15" s="3" t="s">
        <v>215</v>
      </c>
      <c r="D15" s="3" t="s">
        <v>216</v>
      </c>
    </row>
    <row r="16" customFormat="false" ht="15" hidden="false" customHeight="true" outlineLevel="0" collapsed="false">
      <c r="A16" s="3" t="s">
        <v>243</v>
      </c>
      <c r="B16" s="3" t="s">
        <v>244</v>
      </c>
      <c r="C16" s="3" t="s">
        <v>215</v>
      </c>
      <c r="D16" s="3" t="s">
        <v>216</v>
      </c>
    </row>
    <row r="17" customFormat="false" ht="15" hidden="false" customHeight="true" outlineLevel="0" collapsed="false">
      <c r="A17" s="3" t="s">
        <v>245</v>
      </c>
      <c r="B17" s="3" t="s">
        <v>246</v>
      </c>
      <c r="C17" s="3" t="s">
        <v>215</v>
      </c>
      <c r="D17" s="3" t="s">
        <v>216</v>
      </c>
    </row>
    <row r="18" customFormat="false" ht="15" hidden="false" customHeight="true" outlineLevel="0" collapsed="false">
      <c r="A18" s="3" t="s">
        <v>247</v>
      </c>
      <c r="B18" s="3" t="s">
        <v>248</v>
      </c>
      <c r="C18" s="3" t="s">
        <v>215</v>
      </c>
      <c r="D18" s="3" t="s">
        <v>216</v>
      </c>
    </row>
    <row r="19" customFormat="false" ht="15" hidden="false" customHeight="true" outlineLevel="0" collapsed="false">
      <c r="A19" s="3" t="s">
        <v>249</v>
      </c>
      <c r="B19" s="3" t="s">
        <v>250</v>
      </c>
      <c r="C19" s="3" t="s">
        <v>215</v>
      </c>
      <c r="D19" s="3" t="s">
        <v>216</v>
      </c>
    </row>
    <row r="20" customFormat="false" ht="15" hidden="false" customHeight="true" outlineLevel="0" collapsed="false">
      <c r="A20" s="3" t="s">
        <v>251</v>
      </c>
      <c r="B20" s="3" t="s">
        <v>252</v>
      </c>
      <c r="C20" s="3" t="s">
        <v>215</v>
      </c>
      <c r="D20" s="3" t="s">
        <v>216</v>
      </c>
    </row>
    <row r="21" customFormat="false" ht="15" hidden="false" customHeight="true" outlineLevel="0" collapsed="false">
      <c r="A21" s="3" t="s">
        <v>253</v>
      </c>
      <c r="B21" s="3" t="s">
        <v>254</v>
      </c>
      <c r="C21" s="3" t="s">
        <v>215</v>
      </c>
      <c r="D21" s="3" t="s">
        <v>216</v>
      </c>
    </row>
    <row r="22" customFormat="false" ht="15" hidden="false" customHeight="true" outlineLevel="0" collapsed="false">
      <c r="A22" s="3" t="s">
        <v>255</v>
      </c>
      <c r="B22" s="3" t="s">
        <v>256</v>
      </c>
      <c r="C22" s="3" t="s">
        <v>215</v>
      </c>
      <c r="D22" s="3" t="s">
        <v>216</v>
      </c>
    </row>
    <row r="23" customFormat="false" ht="15" hidden="false" customHeight="true" outlineLevel="0" collapsed="false">
      <c r="A23" s="3" t="s">
        <v>257</v>
      </c>
      <c r="B23" s="3" t="s">
        <v>258</v>
      </c>
      <c r="C23" s="3" t="s">
        <v>215</v>
      </c>
      <c r="D23" s="3" t="s">
        <v>216</v>
      </c>
    </row>
    <row r="24" customFormat="false" ht="15" hidden="false" customHeight="true" outlineLevel="0" collapsed="false">
      <c r="A24" s="3" t="s">
        <v>259</v>
      </c>
      <c r="B24" s="3" t="s">
        <v>260</v>
      </c>
      <c r="C24" s="3" t="s">
        <v>261</v>
      </c>
      <c r="D24" s="3" t="s">
        <v>262</v>
      </c>
    </row>
    <row r="25" customFormat="false" ht="15" hidden="false" customHeight="true" outlineLevel="0" collapsed="false">
      <c r="A25" s="3" t="s">
        <v>263</v>
      </c>
      <c r="B25" s="3" t="s">
        <v>264</v>
      </c>
      <c r="C25" s="3" t="s">
        <v>261</v>
      </c>
      <c r="D25" s="3" t="s">
        <v>265</v>
      </c>
    </row>
    <row r="26" customFormat="false" ht="15" hidden="false" customHeight="true" outlineLevel="0" collapsed="false">
      <c r="A26" s="3" t="s">
        <v>266</v>
      </c>
      <c r="B26" s="3" t="s">
        <v>267</v>
      </c>
      <c r="C26" s="3" t="s">
        <v>261</v>
      </c>
      <c r="D26" s="3" t="s">
        <v>262</v>
      </c>
    </row>
    <row r="27" customFormat="false" ht="15" hidden="false" customHeight="true" outlineLevel="0" collapsed="false">
      <c r="A27" s="3" t="s">
        <v>268</v>
      </c>
      <c r="B27" s="3" t="s">
        <v>269</v>
      </c>
      <c r="C27" s="3" t="s">
        <v>261</v>
      </c>
      <c r="D27" s="3" t="s">
        <v>262</v>
      </c>
    </row>
    <row r="28" customFormat="false" ht="15" hidden="false" customHeight="true" outlineLevel="0" collapsed="false">
      <c r="A28" s="3" t="s">
        <v>270</v>
      </c>
      <c r="B28" s="3" t="s">
        <v>271</v>
      </c>
      <c r="C28" s="3" t="s">
        <v>272</v>
      </c>
      <c r="D28" s="3" t="s">
        <v>273</v>
      </c>
    </row>
    <row r="29" customFormat="false" ht="15" hidden="false" customHeight="true" outlineLevel="0" collapsed="false">
      <c r="A29" s="3" t="s">
        <v>274</v>
      </c>
      <c r="B29" s="3" t="s">
        <v>275</v>
      </c>
      <c r="C29" s="3" t="s">
        <v>276</v>
      </c>
      <c r="D29" s="3" t="s">
        <v>262</v>
      </c>
    </row>
    <row r="30" customFormat="false" ht="15" hidden="false" customHeight="true" outlineLevel="0" collapsed="false">
      <c r="A30" s="3" t="s">
        <v>277</v>
      </c>
      <c r="B30" s="3" t="s">
        <v>278</v>
      </c>
      <c r="C30" s="3" t="s">
        <v>279</v>
      </c>
      <c r="D30" s="3" t="s">
        <v>280</v>
      </c>
    </row>
    <row r="31" customFormat="false" ht="15" hidden="false" customHeight="true" outlineLevel="0" collapsed="false">
      <c r="A31" s="3" t="s">
        <v>281</v>
      </c>
      <c r="B31" s="3" t="s">
        <v>282</v>
      </c>
      <c r="C31" s="3" t="s">
        <v>279</v>
      </c>
      <c r="D31" s="3" t="s">
        <v>280</v>
      </c>
    </row>
    <row r="32" customFormat="false" ht="15" hidden="false" customHeight="true" outlineLevel="0" collapsed="false">
      <c r="A32" s="3" t="s">
        <v>283</v>
      </c>
      <c r="B32" s="3" t="s">
        <v>284</v>
      </c>
      <c r="C32" s="3" t="s">
        <v>279</v>
      </c>
      <c r="D32" s="3" t="s">
        <v>280</v>
      </c>
    </row>
    <row r="33" customFormat="false" ht="15" hidden="false" customHeight="true" outlineLevel="0" collapsed="false">
      <c r="A33" s="3" t="s">
        <v>285</v>
      </c>
      <c r="B33" s="3" t="s">
        <v>286</v>
      </c>
      <c r="C33" s="3" t="s">
        <v>279</v>
      </c>
      <c r="D33" s="3" t="s">
        <v>280</v>
      </c>
    </row>
    <row r="34" customFormat="false" ht="15" hidden="false" customHeight="true" outlineLevel="0" collapsed="false">
      <c r="A34" s="3" t="s">
        <v>287</v>
      </c>
      <c r="B34" s="3" t="s">
        <v>288</v>
      </c>
      <c r="C34" s="3" t="s">
        <v>279</v>
      </c>
      <c r="D34" s="3" t="s">
        <v>280</v>
      </c>
    </row>
    <row r="35" customFormat="false" ht="15" hidden="false" customHeight="true" outlineLevel="0" collapsed="false">
      <c r="A35" s="3" t="s">
        <v>289</v>
      </c>
      <c r="B35" s="3" t="s">
        <v>290</v>
      </c>
      <c r="C35" s="3" t="s">
        <v>279</v>
      </c>
      <c r="D35" s="3" t="s">
        <v>280</v>
      </c>
    </row>
    <row r="36" customFormat="false" ht="15" hidden="false" customHeight="true" outlineLevel="0" collapsed="false">
      <c r="A36" s="3" t="s">
        <v>291</v>
      </c>
      <c r="B36" s="3" t="s">
        <v>292</v>
      </c>
      <c r="C36" s="3" t="s">
        <v>293</v>
      </c>
      <c r="D36" s="3" t="s">
        <v>294</v>
      </c>
    </row>
    <row r="37" customFormat="false" ht="15" hidden="false" customHeight="true" outlineLevel="0" collapsed="false">
      <c r="A37" s="3" t="s">
        <v>295</v>
      </c>
      <c r="B37" s="3" t="s">
        <v>296</v>
      </c>
      <c r="C37" s="3" t="s">
        <v>297</v>
      </c>
      <c r="D37" s="3" t="s">
        <v>298</v>
      </c>
    </row>
    <row r="38" customFormat="false" ht="15" hidden="false" customHeight="true" outlineLevel="0" collapsed="false">
      <c r="A38" s="3" t="s">
        <v>299</v>
      </c>
      <c r="B38" s="3" t="s">
        <v>222</v>
      </c>
      <c r="C38" s="3" t="s">
        <v>300</v>
      </c>
      <c r="D38" s="3" t="s">
        <v>298</v>
      </c>
    </row>
    <row r="39" customFormat="false" ht="15" hidden="false" customHeight="true" outlineLevel="0" collapsed="false">
      <c r="A39" s="3" t="s">
        <v>301</v>
      </c>
      <c r="B39" s="3" t="s">
        <v>302</v>
      </c>
      <c r="C39" s="3" t="s">
        <v>303</v>
      </c>
      <c r="D39" s="3" t="s">
        <v>298</v>
      </c>
    </row>
    <row r="40" customFormat="false" ht="15" hidden="false" customHeight="true" outlineLevel="0" collapsed="false">
      <c r="A40" s="3" t="s">
        <v>304</v>
      </c>
      <c r="B40" s="3" t="s">
        <v>305</v>
      </c>
      <c r="C40" s="3" t="s">
        <v>306</v>
      </c>
      <c r="D40" s="3" t="s">
        <v>298</v>
      </c>
    </row>
    <row r="41" customFormat="false" ht="15" hidden="false" customHeight="true" outlineLevel="0" collapsed="false">
      <c r="A41" s="3" t="s">
        <v>307</v>
      </c>
      <c r="B41" s="3" t="s">
        <v>308</v>
      </c>
      <c r="C41" s="3" t="s">
        <v>309</v>
      </c>
      <c r="D41" s="3" t="s">
        <v>298</v>
      </c>
    </row>
    <row r="42" customFormat="false" ht="15" hidden="false" customHeight="true" outlineLevel="0" collapsed="false">
      <c r="A42" s="3" t="s">
        <v>310</v>
      </c>
      <c r="B42" s="3" t="s">
        <v>311</v>
      </c>
      <c r="C42" s="3" t="s">
        <v>312</v>
      </c>
      <c r="D42" s="3" t="s">
        <v>298</v>
      </c>
    </row>
    <row r="43" customFormat="false" ht="15" hidden="false" customHeight="true" outlineLevel="0" collapsed="false">
      <c r="A43" s="3" t="s">
        <v>313</v>
      </c>
      <c r="B43" s="3" t="s">
        <v>314</v>
      </c>
      <c r="C43" s="3" t="s">
        <v>315</v>
      </c>
      <c r="D43" s="3" t="s">
        <v>298</v>
      </c>
    </row>
    <row r="44" customFormat="false" ht="15" hidden="false" customHeight="true" outlineLevel="0" collapsed="false">
      <c r="A44" s="3" t="s">
        <v>316</v>
      </c>
      <c r="B44" s="3" t="s">
        <v>317</v>
      </c>
      <c r="C44" s="3" t="s">
        <v>297</v>
      </c>
      <c r="D44" s="3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4" t="s">
        <v>318</v>
      </c>
      <c r="B1" s="2"/>
    </row>
    <row r="2" customFormat="false" ht="15" hidden="false" customHeight="true" outlineLevel="0" collapsed="false">
      <c r="A2" s="3"/>
      <c r="B2" s="3"/>
    </row>
    <row r="3" customFormat="false" ht="15" hidden="false" customHeight="true" outlineLevel="0" collapsed="false">
      <c r="A3" s="3" t="s">
        <v>319</v>
      </c>
      <c r="B3" s="3" t="s">
        <v>320</v>
      </c>
    </row>
    <row r="4" customFormat="false" ht="15" hidden="false" customHeight="true" outlineLevel="0" collapsed="false">
      <c r="A4" s="3" t="s">
        <v>321</v>
      </c>
      <c r="B4" s="3" t="s">
        <v>322</v>
      </c>
    </row>
    <row r="5" customFormat="false" ht="15" hidden="false" customHeight="true" outlineLevel="0" collapsed="false">
      <c r="A5" s="3"/>
      <c r="B5" s="3"/>
    </row>
    <row r="6" customFormat="false" ht="15" hidden="false" customHeight="true" outlineLevel="0" collapsed="false">
      <c r="A6" s="5" t="s">
        <v>323</v>
      </c>
      <c r="B6" s="3" t="s">
        <v>324</v>
      </c>
    </row>
    <row r="7" customFormat="false" ht="15" hidden="false" customHeight="true" outlineLevel="0" collapsed="false">
      <c r="A7" s="3" t="s">
        <v>8</v>
      </c>
      <c r="B7" s="3" t="s">
        <v>325</v>
      </c>
    </row>
    <row r="8" customFormat="false" ht="15" hidden="false" customHeight="true" outlineLevel="0" collapsed="false">
      <c r="A8" s="3" t="s">
        <v>9</v>
      </c>
      <c r="B8" s="3" t="s">
        <v>326</v>
      </c>
    </row>
    <row r="9" customFormat="false" ht="15" hidden="false" customHeight="true" outlineLevel="0" collapsed="false">
      <c r="A9" s="3" t="s">
        <v>10</v>
      </c>
      <c r="B9" s="3" t="s">
        <v>327</v>
      </c>
    </row>
    <row r="10" customFormat="false" ht="15" hidden="false" customHeight="true" outlineLevel="0" collapsed="false">
      <c r="A10" s="3" t="s">
        <v>2</v>
      </c>
      <c r="B10" s="3" t="s">
        <v>328</v>
      </c>
    </row>
    <row r="11" customFormat="false" ht="15" hidden="false" customHeight="true" outlineLevel="0" collapsed="false">
      <c r="A11" s="3"/>
      <c r="B11" s="3"/>
    </row>
    <row r="12" customFormat="false" ht="15" hidden="false" customHeight="true" outlineLevel="0" collapsed="false">
      <c r="A12" s="3" t="s">
        <v>329</v>
      </c>
      <c r="B12" s="3" t="s">
        <v>330</v>
      </c>
    </row>
    <row r="13" customFormat="false" ht="15" hidden="false" customHeight="true" outlineLevel="0" collapsed="false">
      <c r="A13" s="5"/>
      <c r="B13" s="3"/>
    </row>
    <row r="14" customFormat="false" ht="15" hidden="false" customHeight="true" outlineLevel="0" collapsed="false">
      <c r="A14" s="5" t="s">
        <v>331</v>
      </c>
      <c r="B14" s="3"/>
    </row>
    <row r="15" customFormat="false" ht="15" hidden="false" customHeight="true" outlineLevel="0" collapsed="false">
      <c r="A15" s="3" t="s">
        <v>198</v>
      </c>
      <c r="B15" s="3" t="s">
        <v>332</v>
      </c>
    </row>
    <row r="16" customFormat="false" ht="15" hidden="false" customHeight="true" outlineLevel="0" collapsed="false">
      <c r="A16" s="3" t="s">
        <v>140</v>
      </c>
      <c r="B16" s="3" t="s">
        <v>333</v>
      </c>
    </row>
    <row r="17" customFormat="false" ht="15" hidden="false" customHeight="true" outlineLevel="0" collapsed="false">
      <c r="A17" s="3" t="s">
        <v>180</v>
      </c>
      <c r="B17" s="3" t="s">
        <v>334</v>
      </c>
    </row>
    <row r="18" customFormat="false" ht="15" hidden="false" customHeight="true" outlineLevel="0" collapsed="false">
      <c r="A18" s="3" t="s">
        <v>205</v>
      </c>
      <c r="B18" s="3" t="s">
        <v>335</v>
      </c>
    </row>
    <row r="19" customFormat="false" ht="15" hidden="false" customHeight="true" outlineLevel="0" collapsed="false">
      <c r="A19" s="3" t="s">
        <v>117</v>
      </c>
      <c r="B19" s="3" t="s">
        <v>336</v>
      </c>
    </row>
    <row r="20" customFormat="false" ht="15" hidden="false" customHeight="true" outlineLevel="0" collapsed="false">
      <c r="A20" s="3" t="s">
        <v>175</v>
      </c>
      <c r="B20" s="3" t="s">
        <v>337</v>
      </c>
    </row>
    <row r="21" customFormat="false" ht="15" hidden="false" customHeight="true" outlineLevel="0" collapsed="false">
      <c r="A21" s="3" t="s">
        <v>338</v>
      </c>
      <c r="B21" s="3" t="s">
        <v>339</v>
      </c>
    </row>
    <row r="22" customFormat="false" ht="15" hidden="false" customHeight="true" outlineLevel="0" collapsed="false">
      <c r="A22" s="3"/>
      <c r="B22" s="3"/>
    </row>
    <row r="23" customFormat="false" ht="15" hidden="false" customHeight="true" outlineLevel="0" collapsed="false">
      <c r="A23" s="5" t="s">
        <v>340</v>
      </c>
      <c r="B23" s="3" t="s">
        <v>341</v>
      </c>
    </row>
    <row r="24" customFormat="false" ht="15" hidden="false" customHeight="true" outlineLevel="0" collapsed="false">
      <c r="A24" s="3" t="s">
        <v>342</v>
      </c>
      <c r="B24" s="3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2026-07-13T04:08:57Z</dcterms:created>
  <dc:creator>openpyxl</dc:creator>
  <dc:description/>
  <dc:language>en-US</dc:language>
  <cp:lastModifiedBy/>
  <dcterms:modified xsi:type="dcterms:W3CDTF">2026-07-13T04:09:12Z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