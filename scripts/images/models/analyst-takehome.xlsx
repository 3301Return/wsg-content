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e-home" sheetId="1" state="visible" r:id="rId1"/>
    <sheet xmlns:r="http://schemas.openxmlformats.org/officeDocument/2006/relationships" name="NY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0"/>
    <numFmt numFmtId="165" formatCode="#,##0;(#,##0);&quot;-&quot;"/>
    <numFmt numFmtId="166" formatCode="0.0%"/>
    <numFmt numFmtId="167" formatCode="0.000%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3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0" borderId="2" applyAlignment="1" pivotButton="0" quotePrefix="0" xfId="0">
      <alignment horizontal="right"/>
    </xf>
    <xf numFmtId="164" fontId="5" fillId="0" borderId="0" pivotButton="0" quotePrefix="0" xfId="0"/>
    <xf numFmtId="166" fontId="6" fillId="3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horizontal="right"/>
    </xf>
    <xf numFmtId="166" fontId="3" fillId="0" borderId="0" pivotButton="0" quotePrefix="0" xfId="0"/>
    <xf numFmtId="10" fontId="6" fillId="3" borderId="0" pivotButton="0" quotePrefix="0" xfId="0"/>
    <xf numFmtId="164" fontId="9" fillId="0" borderId="0" pivotButton="0" quotePrefix="0" xfId="0"/>
    <xf numFmtId="164" fontId="3" fillId="0" borderId="0" pivotButton="0" quotePrefix="0" xfId="0"/>
    <xf numFmtId="167" fontId="6" fillId="3" borderId="0" pivotButton="0" quotePrefix="0" xfId="0"/>
    <xf numFmtId="0" fontId="7" fillId="0" borderId="0" pivotButton="0" quotePrefix="0" xfId="0"/>
    <xf numFmtId="164" fontId="7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" customWidth="1" min="3" max="3"/>
    <col width="12" customWidth="1" min="4" max="4"/>
    <col width="12" customWidth="1" min="5" max="5"/>
    <col width="9" customWidth="1" min="6" max="6"/>
    <col width="15" customWidth="1" min="7" max="7"/>
    <col width="13" customWidth="1" min="8" max="8"/>
  </cols>
  <sheetData>
    <row r="2">
      <c r="B2" s="1" t="inlineStr">
        <is>
          <t>First-year analyst in New York City: gross pay to take-home</t>
        </is>
      </c>
    </row>
    <row r="3">
      <c r="B3" s="2" t="inlineStr">
        <is>
          <t>Single filer, 2026 rules, no pre-tax deductions. Blue on yellow = typed input, black = formula, green = pulled from another sheet.</t>
        </is>
      </c>
    </row>
    <row r="5">
      <c r="B5" s="3" t="inlineStr">
        <is>
          <t>PAY AND FEDERAL TAXABLE INCOME</t>
        </is>
      </c>
      <c r="C5" s="3" t="n"/>
      <c r="D5" s="3" t="n"/>
      <c r="E5" s="3" t="n"/>
      <c r="F5" s="3" t="n"/>
      <c r="G5" s="3" t="n"/>
      <c r="H5" s="3" t="n"/>
    </row>
    <row r="6">
      <c r="B6" s="4" t="inlineStr">
        <is>
          <t>Base salary</t>
        </is>
      </c>
      <c r="H6" s="5" t="n">
        <v>120000</v>
      </c>
    </row>
    <row r="7">
      <c r="B7" s="4" t="inlineStr">
        <is>
          <t>Year-end bonus</t>
        </is>
      </c>
      <c r="H7" s="5" t="n">
        <v>80000</v>
      </c>
    </row>
    <row r="8">
      <c r="B8" s="6" t="inlineStr">
        <is>
          <t>Gross pay</t>
        </is>
      </c>
      <c r="H8" s="7">
        <f>H6+H7</f>
        <v/>
      </c>
    </row>
    <row r="9">
      <c r="B9" s="4" t="inlineStr">
        <is>
          <t>Less: federal standard deduction (single, 2026)</t>
        </is>
      </c>
      <c r="H9" s="5" t="n">
        <v>16100</v>
      </c>
    </row>
    <row r="10">
      <c r="B10" s="6" t="inlineStr">
        <is>
          <t>Federal taxable income</t>
        </is>
      </c>
      <c r="H10" s="7">
        <f>H8-H9</f>
        <v/>
      </c>
    </row>
    <row r="12">
      <c r="B12" s="3" t="inlineStr">
        <is>
          <t>FEDERAL INCOME TAX BY BRACKET (2026, single filer)</t>
        </is>
      </c>
      <c r="C12" s="3" t="n"/>
      <c r="D12" s="3" t="n"/>
      <c r="E12" s="3" t="n"/>
      <c r="F12" s="3" t="n"/>
      <c r="G12" s="3" t="n"/>
      <c r="H12" s="3" t="n"/>
    </row>
    <row r="13">
      <c r="D13" s="8" t="inlineStr">
        <is>
          <t>Slice from</t>
        </is>
      </c>
      <c r="E13" s="8" t="inlineStr">
        <is>
          <t>Slice to</t>
        </is>
      </c>
      <c r="F13" s="8" t="inlineStr">
        <is>
          <t>Rate</t>
        </is>
      </c>
      <c r="G13" s="8" t="inlineStr">
        <is>
          <t>Dollars in slice</t>
        </is>
      </c>
      <c r="H13" s="8" t="inlineStr">
        <is>
          <t>Tax</t>
        </is>
      </c>
    </row>
    <row r="14">
      <c r="B14" s="4" t="inlineStr">
        <is>
          <t>Bracket 1</t>
        </is>
      </c>
      <c r="D14" s="9" t="n">
        <v>0</v>
      </c>
      <c r="E14" s="5" t="n">
        <v>12400</v>
      </c>
      <c r="F14" s="10" t="n">
        <v>0.1</v>
      </c>
      <c r="G14" s="11">
        <f>MAX(0,MIN($H$10,E14)-D14)</f>
        <v/>
      </c>
      <c r="H14" s="11">
        <f>G14*F14</f>
        <v/>
      </c>
    </row>
    <row r="15">
      <c r="B15" s="4" t="inlineStr">
        <is>
          <t>Bracket 2</t>
        </is>
      </c>
      <c r="D15" s="9">
        <f>E14</f>
        <v/>
      </c>
      <c r="E15" s="5" t="n">
        <v>50400</v>
      </c>
      <c r="F15" s="10" t="n">
        <v>0.12</v>
      </c>
      <c r="G15" s="11">
        <f>MAX(0,MIN($H$10,E15)-D15)</f>
        <v/>
      </c>
      <c r="H15" s="11">
        <f>G15*F15</f>
        <v/>
      </c>
    </row>
    <row r="16">
      <c r="B16" s="4" t="inlineStr">
        <is>
          <t>Bracket 3</t>
        </is>
      </c>
      <c r="D16" s="9">
        <f>E15</f>
        <v/>
      </c>
      <c r="E16" s="5" t="n">
        <v>105700</v>
      </c>
      <c r="F16" s="10" t="n">
        <v>0.22</v>
      </c>
      <c r="G16" s="11">
        <f>MAX(0,MIN($H$10,E16)-D16)</f>
        <v/>
      </c>
      <c r="H16" s="11">
        <f>G16*F16</f>
        <v/>
      </c>
    </row>
    <row r="17">
      <c r="B17" s="4" t="inlineStr">
        <is>
          <t>Bracket 4</t>
        </is>
      </c>
      <c r="D17" s="9">
        <f>E16</f>
        <v/>
      </c>
      <c r="E17" s="5" t="n">
        <v>201775</v>
      </c>
      <c r="F17" s="10" t="n">
        <v>0.24</v>
      </c>
      <c r="G17" s="11">
        <f>MAX(0,MIN($H$10,E17)-D17)</f>
        <v/>
      </c>
      <c r="H17" s="11">
        <f>G17*F17</f>
        <v/>
      </c>
    </row>
    <row r="18">
      <c r="B18" s="4" t="inlineStr">
        <is>
          <t>Bracket 5</t>
        </is>
      </c>
      <c r="D18" s="9">
        <f>E17</f>
        <v/>
      </c>
      <c r="E18" s="5" t="n">
        <v>256225</v>
      </c>
      <c r="F18" s="10" t="n">
        <v>0.32</v>
      </c>
      <c r="G18" s="11">
        <f>MAX(0,MIN($H$10,E18)-D18)</f>
        <v/>
      </c>
      <c r="H18" s="11">
        <f>G18*F18</f>
        <v/>
      </c>
    </row>
    <row r="19">
      <c r="B19" s="4" t="inlineStr">
        <is>
          <t>Bracket 6</t>
        </is>
      </c>
      <c r="D19" s="9">
        <f>E18</f>
        <v/>
      </c>
      <c r="E19" s="5" t="n">
        <v>640600</v>
      </c>
      <c r="F19" s="10" t="n">
        <v>0.35</v>
      </c>
      <c r="G19" s="11">
        <f>MAX(0,MIN($H$10,E19)-D19)</f>
        <v/>
      </c>
      <c r="H19" s="11">
        <f>G19*F19</f>
        <v/>
      </c>
    </row>
    <row r="20">
      <c r="B20" s="4" t="inlineStr">
        <is>
          <t>Bracket 7</t>
        </is>
      </c>
      <c r="D20" s="9">
        <f>E19</f>
        <v/>
      </c>
      <c r="E20" s="12" t="inlineStr">
        <is>
          <t>and up</t>
        </is>
      </c>
      <c r="F20" s="10" t="n">
        <v>0.37</v>
      </c>
      <c r="G20" s="11">
        <f>MAX(0,$H$10-D20)</f>
        <v/>
      </c>
      <c r="H20" s="11">
        <f>G20*F20</f>
        <v/>
      </c>
    </row>
    <row r="21">
      <c r="B21" s="6" t="inlineStr">
        <is>
          <t>Total federal income tax</t>
        </is>
      </c>
      <c r="G21" s="7">
        <f>SUM(G14:G20)</f>
        <v/>
      </c>
      <c r="H21" s="7">
        <f>SUM(H14:H20)</f>
        <v/>
      </c>
    </row>
    <row r="22">
      <c r="B22" s="2" t="inlineStr">
        <is>
          <t>Effective federal rate on gross pay (the top rate touched is 24%)</t>
        </is>
      </c>
      <c r="H22" s="13">
        <f>H21/H8</f>
        <v/>
      </c>
    </row>
    <row r="24">
      <c r="B24" s="3" t="inlineStr">
        <is>
          <t>SOCIAL SECURITY AND MEDICARE</t>
        </is>
      </c>
      <c r="C24" s="3" t="n"/>
      <c r="D24" s="3" t="n"/>
      <c r="E24" s="3" t="n"/>
      <c r="F24" s="3" t="n"/>
      <c r="G24" s="3" t="n"/>
      <c r="H24" s="3" t="n"/>
    </row>
    <row r="25">
      <c r="F25" s="8" t="inlineStr">
        <is>
          <t>Rate</t>
        </is>
      </c>
      <c r="G25" s="8" t="inlineStr">
        <is>
          <t>Wages taxed</t>
        </is>
      </c>
      <c r="H25" s="8" t="inlineStr">
        <is>
          <t>Tax</t>
        </is>
      </c>
    </row>
    <row r="26">
      <c r="B26" s="4" t="inlineStr">
        <is>
          <t>Social Security wage base (2026)</t>
        </is>
      </c>
      <c r="G26" s="5" t="n">
        <v>184500</v>
      </c>
    </row>
    <row r="27">
      <c r="B27" s="4" t="inlineStr">
        <is>
          <t>Social Security, 6.2% of wages up to the wage base</t>
        </is>
      </c>
      <c r="F27" s="10" t="n">
        <v>0.062</v>
      </c>
      <c r="G27" s="9">
        <f>MIN(H8,G26)</f>
        <v/>
      </c>
      <c r="H27" s="9">
        <f>F27*G27</f>
        <v/>
      </c>
    </row>
    <row r="28">
      <c r="B28" s="4" t="inlineStr">
        <is>
          <t>Medicare, 1.45% of all wages, no cap</t>
        </is>
      </c>
      <c r="F28" s="14" t="n">
        <v>0.0145</v>
      </c>
      <c r="G28" s="9">
        <f>H8</f>
        <v/>
      </c>
      <c r="H28" s="9">
        <f>F28*G28</f>
        <v/>
      </c>
    </row>
    <row r="29">
      <c r="B29" s="4" t="inlineStr">
        <is>
          <t>Additional Medicare, 0.9% above the threshold in column D</t>
        </is>
      </c>
      <c r="D29" s="5" t="n">
        <v>200000</v>
      </c>
      <c r="F29" s="10" t="n">
        <v>0.008999999999999999</v>
      </c>
      <c r="G29" s="9">
        <f>MAX(0,H8-D29)</f>
        <v/>
      </c>
      <c r="H29" s="9">
        <f>F29*G29</f>
        <v/>
      </c>
    </row>
    <row r="30">
      <c r="B30" s="6" t="inlineStr">
        <is>
          <t>Total Social Security and Medicare</t>
        </is>
      </c>
      <c r="H30" s="7">
        <f>SUM(H27:H29)</f>
        <v/>
      </c>
    </row>
    <row r="32">
      <c r="B32" s="3" t="inlineStr">
        <is>
          <t>NEW YORK STATE (single filer, 2026)</t>
        </is>
      </c>
      <c r="C32" s="3" t="n"/>
      <c r="D32" s="3" t="n"/>
      <c r="E32" s="3" t="n"/>
      <c r="F32" s="3" t="n"/>
      <c r="G32" s="3" t="n"/>
      <c r="H32" s="3" t="n"/>
    </row>
    <row r="33">
      <c r="F33" s="8" t="inlineStr">
        <is>
          <t>Rate</t>
        </is>
      </c>
      <c r="G33" s="8" t="inlineStr">
        <is>
          <t>Taxed on</t>
        </is>
      </c>
      <c r="H33" s="8" t="inlineStr">
        <is>
          <t>Tax</t>
        </is>
      </c>
    </row>
    <row r="34">
      <c r="B34" s="4" t="inlineStr">
        <is>
          <t>New York adjusted gross income (wages, no deferrals)</t>
        </is>
      </c>
      <c r="H34" s="9">
        <f>H8</f>
        <v/>
      </c>
    </row>
    <row r="35">
      <c r="B35" s="4" t="inlineStr">
        <is>
          <t>Less: New York standard deduction (single)</t>
        </is>
      </c>
      <c r="H35" s="5" t="n">
        <v>8000</v>
      </c>
    </row>
    <row r="36">
      <c r="B36" s="6" t="inlineStr">
        <is>
          <t>New York taxable income</t>
        </is>
      </c>
      <c r="H36" s="7">
        <f>H34-H35</f>
        <v/>
      </c>
    </row>
    <row r="37">
      <c r="B37" s="4" t="inlineStr">
        <is>
          <t>Worksheet 7 applies once New York AGI reaches (phase-out complete)</t>
        </is>
      </c>
      <c r="H37" s="5" t="n">
        <v>157650</v>
      </c>
    </row>
    <row r="38">
      <c r="B38" s="4" t="inlineStr">
        <is>
          <t>Tax from the published rate schedule, for reference (NY schedule sheet)</t>
        </is>
      </c>
      <c r="H38" s="15">
        <f>'NY schedule'!H15</f>
        <v/>
      </c>
    </row>
    <row r="39">
      <c r="B39" s="4" t="inlineStr">
        <is>
          <t>Tax at the flat rate on the whole taxable income</t>
        </is>
      </c>
      <c r="F39" s="10" t="n">
        <v>0.059</v>
      </c>
      <c r="G39" s="9">
        <f>H36</f>
        <v/>
      </c>
      <c r="H39" s="9">
        <f>F39*G39</f>
        <v/>
      </c>
    </row>
    <row r="40">
      <c r="B40" s="6" t="inlineStr">
        <is>
          <t>New York State tax (flat rate if AGI is at or above the threshold)</t>
        </is>
      </c>
      <c r="H40" s="7">
        <f>IF(H34&gt;=H37,H39,H38)</f>
        <v/>
      </c>
    </row>
    <row r="41">
      <c r="B41" s="2" t="inlineStr">
        <is>
          <t>Lower-bracket benefit the worksheet takes away (flat minus schedule)</t>
        </is>
      </c>
      <c r="H41" s="16">
        <f>H39-H38</f>
        <v/>
      </c>
    </row>
    <row r="43">
      <c r="B43" s="3" t="inlineStr">
        <is>
          <t>NEW YORK CITY RESIDENT TAX BY BRACKET (2026, single filer)</t>
        </is>
      </c>
      <c r="C43" s="3" t="n"/>
      <c r="D43" s="3" t="n"/>
      <c r="E43" s="3" t="n"/>
      <c r="F43" s="3" t="n"/>
      <c r="G43" s="3" t="n"/>
      <c r="H43" s="3" t="n"/>
    </row>
    <row r="44">
      <c r="D44" s="8" t="inlineStr">
        <is>
          <t>Slice from</t>
        </is>
      </c>
      <c r="E44" s="8" t="inlineStr">
        <is>
          <t>Slice to</t>
        </is>
      </c>
      <c r="F44" s="8" t="inlineStr">
        <is>
          <t>Rate</t>
        </is>
      </c>
      <c r="G44" s="8" t="inlineStr">
        <is>
          <t>Dollars in slice</t>
        </is>
      </c>
      <c r="H44" s="8" t="inlineStr">
        <is>
          <t>Tax</t>
        </is>
      </c>
    </row>
    <row r="45">
      <c r="B45" s="4" t="inlineStr">
        <is>
          <t>Bracket 1</t>
        </is>
      </c>
      <c r="D45" s="9" t="n">
        <v>0</v>
      </c>
      <c r="E45" s="5" t="n">
        <v>12000</v>
      </c>
      <c r="F45" s="17" t="n">
        <v>0.03078</v>
      </c>
      <c r="G45" s="11">
        <f>MAX(0,MIN($H$36,E45)-D45)</f>
        <v/>
      </c>
      <c r="H45" s="11">
        <f>G45*F45</f>
        <v/>
      </c>
    </row>
    <row r="46">
      <c r="B46" s="4" t="inlineStr">
        <is>
          <t>Bracket 2</t>
        </is>
      </c>
      <c r="D46" s="9">
        <f>E45</f>
        <v/>
      </c>
      <c r="E46" s="5" t="n">
        <v>25000</v>
      </c>
      <c r="F46" s="17" t="n">
        <v>0.03762</v>
      </c>
      <c r="G46" s="11">
        <f>MAX(0,MIN($H$36,E46)-D46)</f>
        <v/>
      </c>
      <c r="H46" s="11">
        <f>G46*F46</f>
        <v/>
      </c>
    </row>
    <row r="47">
      <c r="B47" s="4" t="inlineStr">
        <is>
          <t>Bracket 3</t>
        </is>
      </c>
      <c r="D47" s="9">
        <f>E46</f>
        <v/>
      </c>
      <c r="E47" s="5" t="n">
        <v>50000</v>
      </c>
      <c r="F47" s="17" t="n">
        <v>0.03819</v>
      </c>
      <c r="G47" s="11">
        <f>MAX(0,MIN($H$36,E47)-D47)</f>
        <v/>
      </c>
      <c r="H47" s="11">
        <f>G47*F47</f>
        <v/>
      </c>
    </row>
    <row r="48">
      <c r="B48" s="4" t="inlineStr">
        <is>
          <t>Bracket 4</t>
        </is>
      </c>
      <c r="D48" s="9">
        <f>E47</f>
        <v/>
      </c>
      <c r="E48" s="12" t="inlineStr">
        <is>
          <t>and up</t>
        </is>
      </c>
      <c r="F48" s="17" t="n">
        <v>0.03876</v>
      </c>
      <c r="G48" s="11">
        <f>MAX(0,$H$36-D48)</f>
        <v/>
      </c>
      <c r="H48" s="11">
        <f>G48*F48</f>
        <v/>
      </c>
    </row>
    <row r="49">
      <c r="B49" s="6" t="inlineStr">
        <is>
          <t>Total New York City tax</t>
        </is>
      </c>
      <c r="G49" s="7">
        <f>SUM(G45:G48)</f>
        <v/>
      </c>
      <c r="H49" s="7">
        <f>SUM(H45:H48)</f>
        <v/>
      </c>
    </row>
    <row r="51">
      <c r="B51" s="3" t="inlineStr">
        <is>
          <t>TAKE-HOME</t>
        </is>
      </c>
      <c r="C51" s="3" t="n"/>
      <c r="D51" s="3" t="n"/>
      <c r="E51" s="3" t="n"/>
      <c r="F51" s="3" t="n"/>
      <c r="G51" s="3" t="n"/>
      <c r="H51" s="3" t="n"/>
    </row>
    <row r="52">
      <c r="B52" s="6" t="inlineStr">
        <is>
          <t>Total taxes (federal, Social Security and Medicare, state, city)</t>
        </is>
      </c>
      <c r="H52" s="7">
        <f>H21+H30+H40+H49</f>
        <v/>
      </c>
    </row>
    <row r="53">
      <c r="B53" s="18" t="inlineStr">
        <is>
          <t>Take-home pay</t>
        </is>
      </c>
      <c r="H53" s="19">
        <f>H8-H52</f>
        <v/>
      </c>
    </row>
    <row r="54">
      <c r="B54" s="4" t="inlineStr">
        <is>
          <t>Take-home as a share of gross</t>
        </is>
      </c>
      <c r="H54" s="20">
        <f>H53/H8</f>
        <v/>
      </c>
    </row>
    <row r="55">
      <c r="B55" s="4" t="inlineStr">
        <is>
          <t>Effective tax rate</t>
        </is>
      </c>
      <c r="H55" s="20">
        <f>H52/H8</f>
        <v/>
      </c>
    </row>
    <row r="56">
      <c r="B56" s="4" t="inlineStr">
        <is>
          <t>Take-home per month</t>
        </is>
      </c>
      <c r="H56" s="9">
        <f>H53/12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3" customWidth="1" min="4" max="4"/>
    <col width="13" customWidth="1" min="5" max="5"/>
    <col width="9" customWidth="1" min="6" max="6"/>
    <col width="15" customWidth="1" min="7" max="7"/>
    <col width="13" customWidth="1" min="8" max="8"/>
  </cols>
  <sheetData>
    <row r="2">
      <c r="B2" s="1" t="inlineStr">
        <is>
          <t>New York State published rate schedule, single filer, 2026 (for reference)</t>
        </is>
      </c>
    </row>
    <row r="3">
      <c r="B3" s="2" t="inlineStr">
        <is>
          <t>What the schedule would charge on the analyst's taxable income before worksheet 7 phases the lower brackets out.</t>
        </is>
      </c>
    </row>
    <row r="4">
      <c r="B4" s="4" t="inlineStr">
        <is>
          <t>New York taxable income (from the Take-home sheet)</t>
        </is>
      </c>
      <c r="H4" s="15">
        <f>'Take-home'!H36</f>
        <v/>
      </c>
    </row>
    <row r="5">
      <c r="D5" s="8" t="inlineStr">
        <is>
          <t>Slice from</t>
        </is>
      </c>
      <c r="E5" s="8" t="inlineStr">
        <is>
          <t>Slice to</t>
        </is>
      </c>
      <c r="F5" s="8" t="inlineStr">
        <is>
          <t>Rate</t>
        </is>
      </c>
      <c r="G5" s="8" t="inlineStr">
        <is>
          <t>Dollars in slice</t>
        </is>
      </c>
      <c r="H5" s="8" t="inlineStr">
        <is>
          <t>Tax</t>
        </is>
      </c>
    </row>
    <row r="6">
      <c r="B6" s="4" t="inlineStr">
        <is>
          <t>Bracket 1</t>
        </is>
      </c>
      <c r="D6" s="9" t="n">
        <v>0</v>
      </c>
      <c r="E6" s="5" t="n">
        <v>8500</v>
      </c>
      <c r="F6" s="14" t="n">
        <v>0.039</v>
      </c>
      <c r="G6" s="11">
        <f>MAX(0,MIN($H$4,E6)-D6)</f>
        <v/>
      </c>
      <c r="H6" s="11">
        <f>G6*F6</f>
        <v/>
      </c>
    </row>
    <row r="7">
      <c r="B7" s="4" t="inlineStr">
        <is>
          <t>Bracket 2</t>
        </is>
      </c>
      <c r="D7" s="9">
        <f>E6</f>
        <v/>
      </c>
      <c r="E7" s="5" t="n">
        <v>11700</v>
      </c>
      <c r="F7" s="14" t="n">
        <v>0.044</v>
      </c>
      <c r="G7" s="11">
        <f>MAX(0,MIN($H$4,E7)-D7)</f>
        <v/>
      </c>
      <c r="H7" s="11">
        <f>G7*F7</f>
        <v/>
      </c>
    </row>
    <row r="8">
      <c r="B8" s="4" t="inlineStr">
        <is>
          <t>Bracket 3</t>
        </is>
      </c>
      <c r="D8" s="9">
        <f>E7</f>
        <v/>
      </c>
      <c r="E8" s="5" t="n">
        <v>13900</v>
      </c>
      <c r="F8" s="14" t="n">
        <v>0.0515</v>
      </c>
      <c r="G8" s="11">
        <f>MAX(0,MIN($H$4,E8)-D8)</f>
        <v/>
      </c>
      <c r="H8" s="11">
        <f>G8*F8</f>
        <v/>
      </c>
    </row>
    <row r="9">
      <c r="B9" s="4" t="inlineStr">
        <is>
          <t>Bracket 4</t>
        </is>
      </c>
      <c r="D9" s="9">
        <f>E8</f>
        <v/>
      </c>
      <c r="E9" s="5" t="n">
        <v>80650</v>
      </c>
      <c r="F9" s="14" t="n">
        <v>0.054</v>
      </c>
      <c r="G9" s="11">
        <f>MAX(0,MIN($H$4,E9)-D9)</f>
        <v/>
      </c>
      <c r="H9" s="11">
        <f>G9*F9</f>
        <v/>
      </c>
    </row>
    <row r="10">
      <c r="B10" s="4" t="inlineStr">
        <is>
          <t>Bracket 5</t>
        </is>
      </c>
      <c r="D10" s="9">
        <f>E9</f>
        <v/>
      </c>
      <c r="E10" s="5" t="n">
        <v>215400</v>
      </c>
      <c r="F10" s="14" t="n">
        <v>0.059</v>
      </c>
      <c r="G10" s="11">
        <f>MAX(0,MIN($H$4,E10)-D10)</f>
        <v/>
      </c>
      <c r="H10" s="11">
        <f>G10*F10</f>
        <v/>
      </c>
    </row>
    <row r="11">
      <c r="B11" s="4" t="inlineStr">
        <is>
          <t>Bracket 6</t>
        </is>
      </c>
      <c r="D11" s="9">
        <f>E10</f>
        <v/>
      </c>
      <c r="E11" s="5" t="n">
        <v>1077550</v>
      </c>
      <c r="F11" s="14" t="n">
        <v>0.06850000000000001</v>
      </c>
      <c r="G11" s="11">
        <f>MAX(0,MIN($H$4,E11)-D11)</f>
        <v/>
      </c>
      <c r="H11" s="11">
        <f>G11*F11</f>
        <v/>
      </c>
    </row>
    <row r="12">
      <c r="B12" s="4" t="inlineStr">
        <is>
          <t>Bracket 7</t>
        </is>
      </c>
      <c r="D12" s="9">
        <f>E11</f>
        <v/>
      </c>
      <c r="E12" s="5" t="n">
        <v>5000000</v>
      </c>
      <c r="F12" s="14" t="n">
        <v>0.0965</v>
      </c>
      <c r="G12" s="11">
        <f>MAX(0,MIN($H$4,E12)-D12)</f>
        <v/>
      </c>
      <c r="H12" s="11">
        <f>G12*F12</f>
        <v/>
      </c>
    </row>
    <row r="13">
      <c r="B13" s="4" t="inlineStr">
        <is>
          <t>Bracket 8</t>
        </is>
      </c>
      <c r="D13" s="9">
        <f>E12</f>
        <v/>
      </c>
      <c r="E13" s="5" t="n">
        <v>25000000</v>
      </c>
      <c r="F13" s="14" t="n">
        <v>0.103</v>
      </c>
      <c r="G13" s="11">
        <f>MAX(0,MIN($H$4,E13)-D13)</f>
        <v/>
      </c>
      <c r="H13" s="11">
        <f>G13*F13</f>
        <v/>
      </c>
    </row>
    <row r="14">
      <c r="B14" s="4" t="inlineStr">
        <is>
          <t>Bracket 9</t>
        </is>
      </c>
      <c r="D14" s="9">
        <f>E13</f>
        <v/>
      </c>
      <c r="E14" s="12" t="inlineStr">
        <is>
          <t>and up</t>
        </is>
      </c>
      <c r="F14" s="14" t="n">
        <v>0.109</v>
      </c>
      <c r="G14" s="11">
        <f>MAX(0,$H$4-D14)</f>
        <v/>
      </c>
      <c r="H14" s="11">
        <f>G14*F14</f>
        <v/>
      </c>
    </row>
    <row r="15">
      <c r="B15" s="6" t="inlineStr">
        <is>
          <t>Tax from the rate schedule</t>
        </is>
      </c>
      <c r="G15" s="7">
        <f>SUM(G6:G14)</f>
        <v/>
      </c>
      <c r="H15" s="7">
        <f>SUM(H6:H14)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:title xmlns:dc="http://purl.org/dc/elements/1.1/">First-year analyst take-home, New York City</dc:title>
  <dcterms:created xmlns:dcterms="http://purl.org/dc/terms/" xmlns:xsi="http://www.w3.org/2001/XMLSchema-instance" xsi:type="dcterms:W3CDTF">2026-10-05T18:20:29Z</dcterms:created>
  <dcterms:modified xmlns:dcterms="http://purl.org/dc/terms/" xmlns:xsi="http://www.w3.org/2001/XMLSchema-instance" xsi:type="dcterms:W3CDTF">2026-10-05T18:20:29Z</dcterms:modified>
  <cp:lastModifiedBy>Wall Street Guide</cp:lastModifiedBy>
</cp:coreProperties>
</file>