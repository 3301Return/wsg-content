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Error constant" sheetId="2" state="visible" r:id="rId2"/>
    <sheet xmlns:r="http://schemas.openxmlformats.org/officeDocument/2006/relationships" name="Error growing" sheetId="3" state="visible" r:id="rId3"/>
  </sheets>
  <definedNames/>
  <calcPr calcId="124519" fullCalcOnLoad="1" iterate="1" iterateCount="100" iterateDelta="0.001"/>
</workbook>
</file>

<file path=xl/styles.xml><?xml version="1.0" encoding="utf-8"?>
<styleSheet xmlns="http://schemas.openxmlformats.org/spreadsheetml/2006/main">
  <numFmts count="3">
    <numFmt numFmtId="164" formatCode="0.0%;(0.0%);&quot;-&quot;"/>
    <numFmt numFmtId="165" formatCode="0.0"/>
    <numFmt numFmtId="166" formatCode="#,##0.0;(#,##0.0);0.0"/>
  </numFmts>
  <fonts count="1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000000"/>
      <sz val="12"/>
    </font>
    <font>
      <name val="Arial"/>
      <i val="1"/>
      <color rgb="0052514E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color rgb="0052514E"/>
      <sz val="10"/>
    </font>
    <font>
      <name val="Arial"/>
      <color rgb="008A8984"/>
      <sz val="10"/>
    </font>
    <font>
      <name val="Arial"/>
      <b val="1"/>
      <color rgb="00000000"/>
      <sz val="10"/>
    </font>
    <font>
      <name val="Arial"/>
      <b val="1"/>
      <color rgb="00E34948"/>
      <sz val="10"/>
    </font>
    <font>
      <name val="Arial"/>
      <color rgb="00E34948"/>
      <sz val="10"/>
    </font>
  </fonts>
  <fills count="5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FFF9E6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top style="thin">
        <color rgb="00000000"/>
      </top>
    </border>
  </borders>
  <cellStyleXfs count="1">
    <xf numFmtId="0" fontId="1" fillId="0" borderId="0"/>
  </cellStyleXfs>
  <cellXfs count="2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right"/>
    </xf>
    <xf numFmtId="0" fontId="5" fillId="2" borderId="0" pivotButton="0" quotePrefix="0" xfId="0"/>
    <xf numFmtId="0" fontId="5" fillId="2" borderId="0" applyAlignment="1" pivotButton="0" quotePrefix="0" xfId="0">
      <alignment horizontal="right"/>
    </xf>
    <xf numFmtId="0" fontId="6" fillId="0" borderId="0" pivotButton="0" quotePrefix="0" xfId="0"/>
    <xf numFmtId="1" fontId="7" fillId="3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right"/>
    </xf>
    <xf numFmtId="164" fontId="7" fillId="3" borderId="0" pivotButton="0" quotePrefix="0" xfId="0"/>
    <xf numFmtId="164" fontId="6" fillId="0" borderId="0" pivotButton="0" quotePrefix="0" xfId="0"/>
    <xf numFmtId="165" fontId="6" fillId="0" borderId="0" pivotButton="0" quotePrefix="0" xfId="0"/>
    <xf numFmtId="166" fontId="7" fillId="3" borderId="0" pivotButton="0" quotePrefix="0" xfId="0"/>
    <xf numFmtId="166" fontId="6" fillId="0" borderId="0" pivotButton="0" quotePrefix="0" xfId="0"/>
    <xf numFmtId="0" fontId="10" fillId="0" borderId="0" pivotButton="0" quotePrefix="0" xfId="0"/>
    <xf numFmtId="166" fontId="10" fillId="0" borderId="2" pivotButton="0" quotePrefix="0" xfId="0"/>
    <xf numFmtId="0" fontId="6" fillId="0" borderId="0" applyAlignment="1" pivotButton="0" quotePrefix="0" xfId="0">
      <alignment indent="1"/>
    </xf>
    <xf numFmtId="0" fontId="10" fillId="4" borderId="0" pivotButton="0" quotePrefix="0" xfId="0"/>
    <xf numFmtId="166" fontId="6" fillId="4" borderId="0" pivotButton="0" quotePrefix="0" xfId="0"/>
    <xf numFmtId="0" fontId="11" fillId="0" borderId="0" pivotButton="0" quotePrefix="0" xfId="0"/>
    <xf numFmtId="0" fontId="11" fillId="4" borderId="0" pivotButton="0" quotePrefix="0" xfId="0"/>
    <xf numFmtId="166" fontId="11" fillId="4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93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2" customWidth="1" min="8" max="8"/>
    <col width="38" customWidth="1" min="9" max="9"/>
  </cols>
  <sheetData>
    <row r="1">
      <c r="B1" s="1" t="inlineStr">
        <is>
          <t>Three statement model, modeling test build</t>
        </is>
      </c>
    </row>
    <row r="2">
      <c r="B2" s="2" t="inlineStr">
        <is>
          <t>$ millions, fiscal years ending December 31</t>
        </is>
      </c>
      <c r="D2" s="3" t="inlineStr">
        <is>
          <t>2025A</t>
        </is>
      </c>
      <c r="E2" s="3" t="inlineStr">
        <is>
          <t>2026E</t>
        </is>
      </c>
      <c r="F2" s="3" t="inlineStr">
        <is>
          <t>2027E</t>
        </is>
      </c>
      <c r="G2" s="3" t="inlineStr">
        <is>
          <t>2028E</t>
        </is>
      </c>
    </row>
    <row r="4">
      <c r="B4" s="4" t="inlineStr">
        <is>
          <t>Drivers</t>
        </is>
      </c>
      <c r="C4" s="4" t="n"/>
      <c r="D4" s="5" t="inlineStr">
        <is>
          <t>2025A</t>
        </is>
      </c>
      <c r="E4" s="5" t="inlineStr">
        <is>
          <t>2026E</t>
        </is>
      </c>
      <c r="F4" s="5" t="inlineStr">
        <is>
          <t>2027E</t>
        </is>
      </c>
      <c r="G4" s="5" t="inlineStr">
        <is>
          <t>2028E</t>
        </is>
      </c>
      <c r="H4" s="4" t="n"/>
      <c r="I4" s="4" t="inlineStr">
        <is>
          <t>Formula in the 2026E column</t>
        </is>
      </c>
    </row>
    <row r="5">
      <c r="B5" s="6" t="inlineStr">
        <is>
          <t>Circularity toggle (1 = on, 0 = off)</t>
        </is>
      </c>
      <c r="D5" s="7" t="n">
        <v>0</v>
      </c>
      <c r="I5" s="8" t="inlineStr">
        <is>
          <t>Input. 1 = average debt, 0 = beginning debt</t>
        </is>
      </c>
    </row>
    <row r="6">
      <c r="B6" s="6" t="inlineStr">
        <is>
          <t>Revenue growth</t>
        </is>
      </c>
      <c r="D6" s="9" t="inlineStr">
        <is>
          <t>n/a</t>
        </is>
      </c>
      <c r="E6" s="10" t="n">
        <v>0.1</v>
      </c>
      <c r="F6" s="10" t="n">
        <v>0.08</v>
      </c>
      <c r="G6" s="10" t="n">
        <v>0.06</v>
      </c>
    </row>
    <row r="7">
      <c r="B7" s="6" t="inlineStr">
        <is>
          <t>Gross margin</t>
        </is>
      </c>
      <c r="D7" s="11">
        <f>D24/D22</f>
        <v/>
      </c>
      <c r="E7" s="10" t="n">
        <v>0.4</v>
      </c>
      <c r="F7" s="10" t="n">
        <v>0.4</v>
      </c>
      <c r="G7" s="10" t="n">
        <v>0.4</v>
      </c>
    </row>
    <row r="8">
      <c r="B8" s="6" t="inlineStr">
        <is>
          <t>SG&amp;A, % of revenue</t>
        </is>
      </c>
      <c r="D8" s="11">
        <f>-D25/D22</f>
        <v/>
      </c>
      <c r="E8" s="10" t="n">
        <v>0.25</v>
      </c>
      <c r="F8" s="10" t="n">
        <v>0.25</v>
      </c>
      <c r="G8" s="10" t="n">
        <v>0.25</v>
      </c>
    </row>
    <row r="9">
      <c r="B9" s="6" t="inlineStr">
        <is>
          <t>D&amp;A, % of revenue</t>
        </is>
      </c>
      <c r="D9" s="11">
        <f>-D27/D22</f>
        <v/>
      </c>
      <c r="E9" s="10" t="n">
        <v>0.04</v>
      </c>
      <c r="F9" s="10" t="n">
        <v>0.04</v>
      </c>
      <c r="G9" s="10" t="n">
        <v>0.04</v>
      </c>
    </row>
    <row r="10">
      <c r="B10" s="6" t="inlineStr">
        <is>
          <t>Capex, % of revenue</t>
        </is>
      </c>
      <c r="D10" s="11">
        <f>D38/D22</f>
        <v/>
      </c>
      <c r="E10" s="10" t="n">
        <v>0.05</v>
      </c>
      <c r="F10" s="10" t="n">
        <v>0.12</v>
      </c>
      <c r="G10" s="10" t="n">
        <v>0.05</v>
      </c>
    </row>
    <row r="11">
      <c r="B11" s="6" t="inlineStr">
        <is>
          <t>DSO (days, on revenue)</t>
        </is>
      </c>
      <c r="D11" s="12">
        <f>D43/D22*365</f>
        <v/>
      </c>
      <c r="E11" s="7" t="n">
        <v>45</v>
      </c>
      <c r="F11" s="7" t="n">
        <v>45</v>
      </c>
      <c r="G11" s="7" t="n">
        <v>45</v>
      </c>
    </row>
    <row r="12">
      <c r="B12" s="6" t="inlineStr">
        <is>
          <t>DIO (days, on COGS)</t>
        </is>
      </c>
      <c r="D12" s="12">
        <f>-D44/D23*365</f>
        <v/>
      </c>
      <c r="E12" s="7" t="n">
        <v>60</v>
      </c>
      <c r="F12" s="7" t="n">
        <v>60</v>
      </c>
      <c r="G12" s="7" t="n">
        <v>60</v>
      </c>
    </row>
    <row r="13">
      <c r="B13" s="6" t="inlineStr">
        <is>
          <t>DPO (days, on COGS)</t>
        </is>
      </c>
      <c r="D13" s="12">
        <f>-D45/D23*365</f>
        <v/>
      </c>
      <c r="E13" s="7" t="n">
        <v>30</v>
      </c>
      <c r="F13" s="7" t="n">
        <v>30</v>
      </c>
      <c r="G13" s="7" t="n">
        <v>30</v>
      </c>
    </row>
    <row r="14">
      <c r="B14" s="6" t="inlineStr">
        <is>
          <t>Tax rate</t>
        </is>
      </c>
      <c r="D14" s="11">
        <f>-D32/D31</f>
        <v/>
      </c>
      <c r="E14" s="10" t="n">
        <v>0.2</v>
      </c>
      <c r="F14" s="10" t="n">
        <v>0.2</v>
      </c>
      <c r="G14" s="10" t="n">
        <v>0.2</v>
      </c>
    </row>
    <row r="15">
      <c r="B15" s="6" t="inlineStr">
        <is>
          <t>Interest rate on debt</t>
        </is>
      </c>
      <c r="D15" s="11">
        <f>-D29/D93</f>
        <v/>
      </c>
      <c r="E15" s="10" t="n">
        <v>0.06</v>
      </c>
      <c r="F15" s="10" t="n">
        <v>0.06</v>
      </c>
      <c r="G15" s="10" t="n">
        <v>0.06</v>
      </c>
    </row>
    <row r="16">
      <c r="B16" s="6" t="inlineStr">
        <is>
          <t>Interest rate on cash</t>
        </is>
      </c>
      <c r="D16" s="9" t="inlineStr">
        <is>
          <t>n/a</t>
        </is>
      </c>
      <c r="E16" s="10" t="n">
        <v>0.02</v>
      </c>
      <c r="F16" s="10" t="n">
        <v>0.02</v>
      </c>
      <c r="G16" s="10" t="n">
        <v>0.02</v>
      </c>
    </row>
    <row r="17">
      <c r="B17" s="6" t="inlineStr">
        <is>
          <t>Term loan amortization</t>
        </is>
      </c>
      <c r="D17" s="9" t="inlineStr">
        <is>
          <t>n/a</t>
        </is>
      </c>
      <c r="E17" s="13" t="n">
        <v>30</v>
      </c>
      <c r="F17" s="13" t="n">
        <v>30</v>
      </c>
      <c r="G17" s="13" t="n">
        <v>30</v>
      </c>
    </row>
    <row r="18">
      <c r="B18" s="6" t="inlineStr">
        <is>
          <t>Dividend payout, % of net income</t>
        </is>
      </c>
      <c r="D18" s="11">
        <f>-D34/D33</f>
        <v/>
      </c>
      <c r="E18" s="10" t="n">
        <v>0.25</v>
      </c>
      <c r="F18" s="10" t="n">
        <v>0.25</v>
      </c>
      <c r="G18" s="10" t="n">
        <v>0.25</v>
      </c>
    </row>
    <row r="19">
      <c r="B19" s="6" t="inlineStr">
        <is>
          <t>Minimum cash</t>
        </is>
      </c>
      <c r="D19" s="9" t="inlineStr">
        <is>
          <t>n/a</t>
        </is>
      </c>
      <c r="E19" s="13" t="n">
        <v>50</v>
      </c>
      <c r="F19" s="13" t="n">
        <v>50</v>
      </c>
      <c r="G19" s="13" t="n">
        <v>50</v>
      </c>
    </row>
    <row r="21">
      <c r="B21" s="4" t="inlineStr">
        <is>
          <t>Income statement</t>
        </is>
      </c>
      <c r="C21" s="4" t="n"/>
      <c r="D21" s="5" t="inlineStr">
        <is>
          <t>2025A</t>
        </is>
      </c>
      <c r="E21" s="5" t="inlineStr">
        <is>
          <t>2026E</t>
        </is>
      </c>
      <c r="F21" s="5" t="inlineStr">
        <is>
          <t>2027E</t>
        </is>
      </c>
      <c r="G21" s="5" t="inlineStr">
        <is>
          <t>2028E</t>
        </is>
      </c>
      <c r="H21" s="4" t="n"/>
      <c r="I21" s="4" t="inlineStr">
        <is>
          <t>Formula in the 2026E column</t>
        </is>
      </c>
    </row>
    <row r="22">
      <c r="B22" s="6" t="inlineStr">
        <is>
          <t>Revenue</t>
        </is>
      </c>
      <c r="D22" s="13" t="n">
        <v>1000</v>
      </c>
      <c r="E22" s="14">
        <f>D22*(1+E6)</f>
        <v/>
      </c>
      <c r="F22" s="14">
        <f>E22*(1+F6)</f>
        <v/>
      </c>
      <c r="G22" s="14">
        <f>F22*(1+G6)</f>
        <v/>
      </c>
      <c r="I22" s="8" t="inlineStr">
        <is>
          <t>=D22*(1+E6)</t>
        </is>
      </c>
    </row>
    <row r="23">
      <c r="B23" s="6" t="inlineStr">
        <is>
          <t>Cost of goods sold</t>
        </is>
      </c>
      <c r="D23" s="13" t="n">
        <v>-600</v>
      </c>
      <c r="E23" s="14">
        <f>-E22*(1-E7)</f>
        <v/>
      </c>
      <c r="F23" s="14">
        <f>-F22*(1-F7)</f>
        <v/>
      </c>
      <c r="G23" s="14">
        <f>-G22*(1-G7)</f>
        <v/>
      </c>
      <c r="I23" s="8" t="inlineStr">
        <is>
          <t>=-E22*(1-E7)</t>
        </is>
      </c>
    </row>
    <row r="24">
      <c r="B24" s="15" t="inlineStr">
        <is>
          <t>Gross profit</t>
        </is>
      </c>
      <c r="D24" s="16">
        <f>SUM(D22:D23)</f>
        <v/>
      </c>
      <c r="E24" s="16">
        <f>SUM(E22:E23)</f>
        <v/>
      </c>
      <c r="F24" s="16">
        <f>SUM(F22:F23)</f>
        <v/>
      </c>
      <c r="G24" s="16">
        <f>SUM(G22:G23)</f>
        <v/>
      </c>
      <c r="I24" s="8" t="inlineStr">
        <is>
          <t>=SUM(E22:E23)</t>
        </is>
      </c>
    </row>
    <row r="25">
      <c r="B25" s="6" t="inlineStr">
        <is>
          <t>SG&amp;A</t>
        </is>
      </c>
      <c r="D25" s="13" t="n">
        <v>-250</v>
      </c>
      <c r="E25" s="14">
        <f>-E22*E8</f>
        <v/>
      </c>
      <c r="F25" s="14">
        <f>-F22*F8</f>
        <v/>
      </c>
      <c r="G25" s="14">
        <f>-G22*G8</f>
        <v/>
      </c>
      <c r="I25" s="8" t="inlineStr">
        <is>
          <t>=-E22*E8</t>
        </is>
      </c>
    </row>
    <row r="26">
      <c r="B26" s="15" t="inlineStr">
        <is>
          <t>EBITDA</t>
        </is>
      </c>
      <c r="D26" s="16">
        <f>SUM(D24:D25)</f>
        <v/>
      </c>
      <c r="E26" s="16">
        <f>SUM(E24:E25)</f>
        <v/>
      </c>
      <c r="F26" s="16">
        <f>SUM(F24:F25)</f>
        <v/>
      </c>
      <c r="G26" s="16">
        <f>SUM(G24:G25)</f>
        <v/>
      </c>
      <c r="I26" s="8" t="inlineStr">
        <is>
          <t>=SUM(E24:E25)</t>
        </is>
      </c>
    </row>
    <row r="27">
      <c r="B27" s="6" t="inlineStr">
        <is>
          <t>D&amp;A</t>
        </is>
      </c>
      <c r="D27" s="13" t="n">
        <v>-40</v>
      </c>
      <c r="E27" s="14">
        <f>-E22*E9</f>
        <v/>
      </c>
      <c r="F27" s="14">
        <f>-F22*F9</f>
        <v/>
      </c>
      <c r="G27" s="14">
        <f>-G22*G9</f>
        <v/>
      </c>
      <c r="I27" s="8" t="inlineStr">
        <is>
          <t>=-E22*E9</t>
        </is>
      </c>
    </row>
    <row r="28">
      <c r="B28" s="15" t="inlineStr">
        <is>
          <t>EBIT</t>
        </is>
      </c>
      <c r="D28" s="16">
        <f>SUM(D26:D27)</f>
        <v/>
      </c>
      <c r="E28" s="16">
        <f>SUM(E26:E27)</f>
        <v/>
      </c>
      <c r="F28" s="16">
        <f>SUM(F26:F27)</f>
        <v/>
      </c>
      <c r="G28" s="16">
        <f>SUM(G26:G27)</f>
        <v/>
      </c>
      <c r="I28" s="8" t="inlineStr">
        <is>
          <t>=SUM(E26:E27)</t>
        </is>
      </c>
    </row>
    <row r="29">
      <c r="B29" s="6" t="inlineStr">
        <is>
          <t>Interest expense</t>
        </is>
      </c>
      <c r="D29" s="13" t="n">
        <v>-18</v>
      </c>
      <c r="E29" s="14">
        <f>-E15*IF($D$5=1,AVERAGE(D93,E93),D93)</f>
        <v/>
      </c>
      <c r="F29" s="14">
        <f>-F15*IF($D$5=1,AVERAGE(E93,F93),E93)</f>
        <v/>
      </c>
      <c r="G29" s="14">
        <f>-G15*IF($D$5=1,AVERAGE(F93,G93),F93)</f>
        <v/>
      </c>
      <c r="I29" s="8" t="inlineStr">
        <is>
          <t>=-E15*IF($D$5=1,AVERAGE(D93,E93),D93)</t>
        </is>
      </c>
    </row>
    <row r="30">
      <c r="B30" s="6" t="inlineStr">
        <is>
          <t>Interest income</t>
        </is>
      </c>
      <c r="D30" s="13" t="n">
        <v>2</v>
      </c>
      <c r="E30" s="14">
        <f>E16*D51</f>
        <v/>
      </c>
      <c r="F30" s="14">
        <f>F16*E51</f>
        <v/>
      </c>
      <c r="G30" s="14">
        <f>G16*F51</f>
        <v/>
      </c>
      <c r="I30" s="8" t="inlineStr">
        <is>
          <t>=E16*D51</t>
        </is>
      </c>
    </row>
    <row r="31">
      <c r="B31" s="15" t="inlineStr">
        <is>
          <t>Pre-tax income</t>
        </is>
      </c>
      <c r="D31" s="16">
        <f>SUM(D28:D30)</f>
        <v/>
      </c>
      <c r="E31" s="16">
        <f>SUM(E28:E30)</f>
        <v/>
      </c>
      <c r="F31" s="16">
        <f>SUM(F28:F30)</f>
        <v/>
      </c>
      <c r="G31" s="16">
        <f>SUM(G28:G30)</f>
        <v/>
      </c>
      <c r="I31" s="8" t="inlineStr">
        <is>
          <t>=SUM(E28:E30)</t>
        </is>
      </c>
    </row>
    <row r="32">
      <c r="B32" s="6" t="inlineStr">
        <is>
          <t>Taxes</t>
        </is>
      </c>
      <c r="D32" s="13" t="n">
        <v>-18.8</v>
      </c>
      <c r="E32" s="14">
        <f>-MAX(0,E31)*E14</f>
        <v/>
      </c>
      <c r="F32" s="14">
        <f>-MAX(0,F31)*F14</f>
        <v/>
      </c>
      <c r="G32" s="14">
        <f>-MAX(0,G31)*G14</f>
        <v/>
      </c>
      <c r="I32" s="8" t="inlineStr">
        <is>
          <t>=-MAX(0,E31)*E14</t>
        </is>
      </c>
    </row>
    <row r="33">
      <c r="B33" s="15" t="inlineStr">
        <is>
          <t>Net income</t>
        </is>
      </c>
      <c r="D33" s="16">
        <f>SUM(D31:D32)</f>
        <v/>
      </c>
      <c r="E33" s="16">
        <f>SUM(E31:E32)</f>
        <v/>
      </c>
      <c r="F33" s="16">
        <f>SUM(F31:F32)</f>
        <v/>
      </c>
      <c r="G33" s="16">
        <f>SUM(G31:G32)</f>
        <v/>
      </c>
      <c r="I33" s="8" t="inlineStr">
        <is>
          <t>=SUM(E31:E32)</t>
        </is>
      </c>
    </row>
    <row r="34">
      <c r="B34" s="6" t="inlineStr">
        <is>
          <t>Dividends</t>
        </is>
      </c>
      <c r="D34" s="13" t="n">
        <v>-18.8</v>
      </c>
      <c r="E34" s="14">
        <f>-E33*E18</f>
        <v/>
      </c>
      <c r="F34" s="14">
        <f>-F33*F18</f>
        <v/>
      </c>
      <c r="G34" s="14">
        <f>-G33*G18</f>
        <v/>
      </c>
      <c r="I34" s="8" t="inlineStr">
        <is>
          <t>=-E33*E18</t>
        </is>
      </c>
    </row>
    <row r="36">
      <c r="B36" s="4" t="inlineStr">
        <is>
          <t>PP&amp;E schedule</t>
        </is>
      </c>
      <c r="C36" s="4" t="n"/>
      <c r="D36" s="5" t="inlineStr">
        <is>
          <t>2025A</t>
        </is>
      </c>
      <c r="E36" s="5" t="inlineStr">
        <is>
          <t>2026E</t>
        </is>
      </c>
      <c r="F36" s="5" t="inlineStr">
        <is>
          <t>2027E</t>
        </is>
      </c>
      <c r="G36" s="5" t="inlineStr">
        <is>
          <t>2028E</t>
        </is>
      </c>
      <c r="H36" s="4" t="n"/>
      <c r="I36" s="4" t="inlineStr">
        <is>
          <t>Formula in the 2026E column</t>
        </is>
      </c>
    </row>
    <row r="37">
      <c r="B37" s="6" t="inlineStr">
        <is>
          <t>Beginning net PP&amp;E</t>
        </is>
      </c>
      <c r="E37" s="14">
        <f>D40</f>
        <v/>
      </c>
      <c r="F37" s="14">
        <f>E40</f>
        <v/>
      </c>
      <c r="G37" s="14">
        <f>F40</f>
        <v/>
      </c>
      <c r="I37" s="8" t="inlineStr">
        <is>
          <t>=D40</t>
        </is>
      </c>
    </row>
    <row r="38">
      <c r="B38" s="17" t="inlineStr">
        <is>
          <t>Plus: capex</t>
        </is>
      </c>
      <c r="D38" s="13" t="n">
        <v>50</v>
      </c>
      <c r="E38" s="14">
        <f>E22*E10</f>
        <v/>
      </c>
      <c r="F38" s="14">
        <f>F22*F10</f>
        <v/>
      </c>
      <c r="G38" s="14">
        <f>G22*G10</f>
        <v/>
      </c>
      <c r="I38" s="8" t="inlineStr">
        <is>
          <t>=E22*E10</t>
        </is>
      </c>
    </row>
    <row r="39">
      <c r="B39" s="17" t="inlineStr">
        <is>
          <t>Less: D&amp;A</t>
        </is>
      </c>
      <c r="D39" s="14">
        <f>D27</f>
        <v/>
      </c>
      <c r="E39" s="14">
        <f>E27</f>
        <v/>
      </c>
      <c r="F39" s="14">
        <f>F27</f>
        <v/>
      </c>
      <c r="G39" s="14">
        <f>G27</f>
        <v/>
      </c>
      <c r="I39" s="8" t="inlineStr">
        <is>
          <t>=E27</t>
        </is>
      </c>
    </row>
    <row r="40">
      <c r="B40" s="15" t="inlineStr">
        <is>
          <t>Ending net PP&amp;E</t>
        </is>
      </c>
      <c r="D40" s="16">
        <f>D54</f>
        <v/>
      </c>
      <c r="E40" s="16">
        <f>SUM(E37:E39)</f>
        <v/>
      </c>
      <c r="F40" s="16">
        <f>SUM(F37:F39)</f>
        <v/>
      </c>
      <c r="G40" s="16">
        <f>SUM(G37:G39)</f>
        <v/>
      </c>
      <c r="I40" s="8" t="inlineStr">
        <is>
          <t>=SUM(E37:E39)</t>
        </is>
      </c>
    </row>
    <row r="42">
      <c r="B42" s="4" t="inlineStr">
        <is>
          <t>Working capital schedule</t>
        </is>
      </c>
      <c r="C42" s="4" t="n"/>
      <c r="D42" s="5" t="inlineStr">
        <is>
          <t>2025A</t>
        </is>
      </c>
      <c r="E42" s="5" t="inlineStr">
        <is>
          <t>2026E</t>
        </is>
      </c>
      <c r="F42" s="5" t="inlineStr">
        <is>
          <t>2027E</t>
        </is>
      </c>
      <c r="G42" s="5" t="inlineStr">
        <is>
          <t>2028E</t>
        </is>
      </c>
      <c r="H42" s="4" t="n"/>
      <c r="I42" s="4" t="inlineStr">
        <is>
          <t>Formula in the 2026E column</t>
        </is>
      </c>
    </row>
    <row r="43">
      <c r="B43" s="6" t="inlineStr">
        <is>
          <t>Accounts receivable</t>
        </is>
      </c>
      <c r="D43" s="14">
        <f>D52</f>
        <v/>
      </c>
      <c r="E43" s="14">
        <f>E22*E11/365</f>
        <v/>
      </c>
      <c r="F43" s="14">
        <f>F22*F11/365</f>
        <v/>
      </c>
      <c r="G43" s="14">
        <f>G22*G11/365</f>
        <v/>
      </c>
      <c r="I43" s="8" t="inlineStr">
        <is>
          <t>=E22*E11/365</t>
        </is>
      </c>
    </row>
    <row r="44">
      <c r="B44" s="6" t="inlineStr">
        <is>
          <t>Inventory</t>
        </is>
      </c>
      <c r="D44" s="14">
        <f>D53</f>
        <v/>
      </c>
      <c r="E44" s="14">
        <f>-E23*E12/365</f>
        <v/>
      </c>
      <c r="F44" s="14">
        <f>-F23*F12/365</f>
        <v/>
      </c>
      <c r="G44" s="14">
        <f>-G23*G12/365</f>
        <v/>
      </c>
      <c r="I44" s="8" t="inlineStr">
        <is>
          <t>=-E23*E12/365</t>
        </is>
      </c>
    </row>
    <row r="45">
      <c r="B45" s="6" t="inlineStr">
        <is>
          <t>Accounts payable</t>
        </is>
      </c>
      <c r="D45" s="14">
        <f>D56</f>
        <v/>
      </c>
      <c r="E45" s="14">
        <f>-E23*E13/365</f>
        <v/>
      </c>
      <c r="F45" s="14">
        <f>-F23*F13/365</f>
        <v/>
      </c>
      <c r="G45" s="14">
        <f>-G23*G13/365</f>
        <v/>
      </c>
      <c r="I45" s="8" t="inlineStr">
        <is>
          <t>=-E23*E13/365</t>
        </is>
      </c>
    </row>
    <row r="46">
      <c r="B46" s="6" t="inlineStr">
        <is>
          <t>(Increase) in receivables</t>
        </is>
      </c>
      <c r="E46" s="14">
        <f>-(E43-D43)</f>
        <v/>
      </c>
      <c r="F46" s="14">
        <f>-(F43-E43)</f>
        <v/>
      </c>
      <c r="G46" s="14">
        <f>-(G43-F43)</f>
        <v/>
      </c>
      <c r="I46" s="8" t="inlineStr">
        <is>
          <t>=-(E43-D43)</t>
        </is>
      </c>
    </row>
    <row r="47">
      <c r="B47" s="6" t="inlineStr">
        <is>
          <t>(Increase) in inventory</t>
        </is>
      </c>
      <c r="E47" s="14">
        <f>-(E44-D44)</f>
        <v/>
      </c>
      <c r="F47" s="14">
        <f>-(F44-E44)</f>
        <v/>
      </c>
      <c r="G47" s="14">
        <f>-(G44-F44)</f>
        <v/>
      </c>
      <c r="I47" s="8" t="inlineStr">
        <is>
          <t>=-(E44-D44)</t>
        </is>
      </c>
    </row>
    <row r="48">
      <c r="B48" s="6" t="inlineStr">
        <is>
          <t>Increase in payables</t>
        </is>
      </c>
      <c r="E48" s="14">
        <f>E45-D45</f>
        <v/>
      </c>
      <c r="F48" s="14">
        <f>F45-E45</f>
        <v/>
      </c>
      <c r="G48" s="14">
        <f>G45-F45</f>
        <v/>
      </c>
      <c r="I48" s="8" t="inlineStr">
        <is>
          <t>=E45-D45</t>
        </is>
      </c>
    </row>
    <row r="50">
      <c r="B50" s="4" t="inlineStr">
        <is>
          <t>Balance sheet</t>
        </is>
      </c>
      <c r="C50" s="4" t="n"/>
      <c r="D50" s="5" t="inlineStr">
        <is>
          <t>2025A</t>
        </is>
      </c>
      <c r="E50" s="5" t="inlineStr">
        <is>
          <t>2026E</t>
        </is>
      </c>
      <c r="F50" s="5" t="inlineStr">
        <is>
          <t>2027E</t>
        </is>
      </c>
      <c r="G50" s="5" t="inlineStr">
        <is>
          <t>2028E</t>
        </is>
      </c>
      <c r="H50" s="4" t="n"/>
      <c r="I50" s="4" t="inlineStr">
        <is>
          <t>Formula in the 2026E column</t>
        </is>
      </c>
    </row>
    <row r="51">
      <c r="B51" s="6" t="inlineStr">
        <is>
          <t>Cash</t>
        </is>
      </c>
      <c r="D51" s="13" t="n">
        <v>80</v>
      </c>
      <c r="E51" s="14">
        <f>E80</f>
        <v/>
      </c>
      <c r="F51" s="14">
        <f>F80</f>
        <v/>
      </c>
      <c r="G51" s="14">
        <f>G80</f>
        <v/>
      </c>
      <c r="I51" s="8" t="inlineStr">
        <is>
          <t>=E80</t>
        </is>
      </c>
    </row>
    <row r="52">
      <c r="B52" s="6" t="inlineStr">
        <is>
          <t>Accounts receivable</t>
        </is>
      </c>
      <c r="D52" s="13" t="n">
        <v>125</v>
      </c>
      <c r="E52" s="14">
        <f>E43</f>
        <v/>
      </c>
      <c r="F52" s="14">
        <f>F43</f>
        <v/>
      </c>
      <c r="G52" s="14">
        <f>G43</f>
        <v/>
      </c>
      <c r="I52" s="8" t="inlineStr">
        <is>
          <t>=E43</t>
        </is>
      </c>
    </row>
    <row r="53">
      <c r="B53" s="6" t="inlineStr">
        <is>
          <t>Inventory</t>
        </is>
      </c>
      <c r="D53" s="13" t="n">
        <v>100</v>
      </c>
      <c r="E53" s="14">
        <f>E44</f>
        <v/>
      </c>
      <c r="F53" s="14">
        <f>F44</f>
        <v/>
      </c>
      <c r="G53" s="14">
        <f>G44</f>
        <v/>
      </c>
      <c r="I53" s="8" t="inlineStr">
        <is>
          <t>=E44</t>
        </is>
      </c>
    </row>
    <row r="54">
      <c r="B54" s="6" t="inlineStr">
        <is>
          <t>Net PP&amp;E</t>
        </is>
      </c>
      <c r="D54" s="13" t="n">
        <v>400</v>
      </c>
      <c r="E54" s="14">
        <f>E40</f>
        <v/>
      </c>
      <c r="F54" s="14">
        <f>F40</f>
        <v/>
      </c>
      <c r="G54" s="14">
        <f>G40</f>
        <v/>
      </c>
      <c r="I54" s="8" t="inlineStr">
        <is>
          <t>=E40</t>
        </is>
      </c>
    </row>
    <row r="55">
      <c r="B55" s="15" t="inlineStr">
        <is>
          <t>Total assets</t>
        </is>
      </c>
      <c r="D55" s="16">
        <f>SUM(D51:D54)</f>
        <v/>
      </c>
      <c r="E55" s="16">
        <f>SUM(E51:E54)</f>
        <v/>
      </c>
      <c r="F55" s="16">
        <f>SUM(F51:F54)</f>
        <v/>
      </c>
      <c r="G55" s="16">
        <f>SUM(G51:G54)</f>
        <v/>
      </c>
      <c r="I55" s="8" t="inlineStr">
        <is>
          <t>=SUM(E51:E54)</t>
        </is>
      </c>
    </row>
    <row r="56">
      <c r="B56" s="6" t="inlineStr">
        <is>
          <t>Accounts payable</t>
        </is>
      </c>
      <c r="D56" s="13" t="n">
        <v>50</v>
      </c>
      <c r="E56" s="14">
        <f>E45</f>
        <v/>
      </c>
      <c r="F56" s="14">
        <f>F45</f>
        <v/>
      </c>
      <c r="G56" s="14">
        <f>G45</f>
        <v/>
      </c>
      <c r="I56" s="8" t="inlineStr">
        <is>
          <t>=E45</t>
        </is>
      </c>
    </row>
    <row r="57">
      <c r="B57" s="6" t="inlineStr">
        <is>
          <t>Revolver</t>
        </is>
      </c>
      <c r="D57" s="13" t="n">
        <v>0</v>
      </c>
      <c r="E57" s="14">
        <f>E89</f>
        <v/>
      </c>
      <c r="F57" s="14">
        <f>F89</f>
        <v/>
      </c>
      <c r="G57" s="14">
        <f>G89</f>
        <v/>
      </c>
      <c r="I57" s="8" t="inlineStr">
        <is>
          <t>=E89</t>
        </is>
      </c>
    </row>
    <row r="58">
      <c r="B58" s="6" t="inlineStr">
        <is>
          <t>Term loan</t>
        </is>
      </c>
      <c r="D58" s="13" t="n">
        <v>300</v>
      </c>
      <c r="E58" s="14">
        <f>E92</f>
        <v/>
      </c>
      <c r="F58" s="14">
        <f>F92</f>
        <v/>
      </c>
      <c r="G58" s="14">
        <f>G92</f>
        <v/>
      </c>
      <c r="I58" s="8" t="inlineStr">
        <is>
          <t>=E92</t>
        </is>
      </c>
    </row>
    <row r="59">
      <c r="B59" s="6" t="inlineStr">
        <is>
          <t>Common stock</t>
        </is>
      </c>
      <c r="D59" s="13" t="n">
        <v>100</v>
      </c>
      <c r="E59" s="14">
        <f>D59</f>
        <v/>
      </c>
      <c r="F59" s="14">
        <f>E59</f>
        <v/>
      </c>
      <c r="G59" s="14">
        <f>F59</f>
        <v/>
      </c>
      <c r="I59" s="8" t="inlineStr">
        <is>
          <t>=D59</t>
        </is>
      </c>
    </row>
    <row r="60">
      <c r="B60" s="6" t="inlineStr">
        <is>
          <t>Retained earnings</t>
        </is>
      </c>
      <c r="D60" s="13" t="n">
        <v>255</v>
      </c>
      <c r="E60" s="14">
        <f>D60+E33+E34</f>
        <v/>
      </c>
      <c r="F60" s="14">
        <f>E60+F33+F34</f>
        <v/>
      </c>
      <c r="G60" s="14">
        <f>F60+G33+G34</f>
        <v/>
      </c>
      <c r="I60" s="8" t="inlineStr">
        <is>
          <t>=D60+E33+E34</t>
        </is>
      </c>
    </row>
    <row r="61">
      <c r="B61" s="15" t="inlineStr">
        <is>
          <t>Total liabilities and equity</t>
        </is>
      </c>
      <c r="D61" s="16">
        <f>SUM(D56:D60)</f>
        <v/>
      </c>
      <c r="E61" s="16">
        <f>SUM(E56:E60)</f>
        <v/>
      </c>
      <c r="F61" s="16">
        <f>SUM(F56:F60)</f>
        <v/>
      </c>
      <c r="G61" s="16">
        <f>SUM(G56:G60)</f>
        <v/>
      </c>
      <c r="I61" s="8" t="inlineStr">
        <is>
          <t>=SUM(E56:E60)</t>
        </is>
      </c>
    </row>
    <row r="62">
      <c r="B62" s="18" t="inlineStr">
        <is>
          <t>Balance check (assets minus liabilities and equity)</t>
        </is>
      </c>
      <c r="D62" s="19">
        <f>D55-D61</f>
        <v/>
      </c>
      <c r="E62" s="19">
        <f>E55-E61</f>
        <v/>
      </c>
      <c r="F62" s="19">
        <f>F55-F61</f>
        <v/>
      </c>
      <c r="G62" s="19">
        <f>G55-G61</f>
        <v/>
      </c>
      <c r="I62" s="8" t="inlineStr">
        <is>
          <t>=E55-E61</t>
        </is>
      </c>
    </row>
    <row r="64">
      <c r="B64" s="4" t="inlineStr">
        <is>
          <t>Cash flow statement</t>
        </is>
      </c>
      <c r="C64" s="4" t="n"/>
      <c r="D64" s="5" t="inlineStr">
        <is>
          <t>2025A</t>
        </is>
      </c>
      <c r="E64" s="5" t="inlineStr">
        <is>
          <t>2026E</t>
        </is>
      </c>
      <c r="F64" s="5" t="inlineStr">
        <is>
          <t>2027E</t>
        </is>
      </c>
      <c r="G64" s="5" t="inlineStr">
        <is>
          <t>2028E</t>
        </is>
      </c>
      <c r="H64" s="4" t="n"/>
      <c r="I64" s="4" t="inlineStr">
        <is>
          <t>Formula in the 2026E column</t>
        </is>
      </c>
    </row>
    <row r="65">
      <c r="B65" s="6" t="inlineStr">
        <is>
          <t>Net income</t>
        </is>
      </c>
      <c r="E65" s="14">
        <f>E33</f>
        <v/>
      </c>
      <c r="F65" s="14">
        <f>F33</f>
        <v/>
      </c>
      <c r="G65" s="14">
        <f>G33</f>
        <v/>
      </c>
      <c r="I65" s="8" t="inlineStr">
        <is>
          <t>=E33</t>
        </is>
      </c>
    </row>
    <row r="66">
      <c r="B66" s="17" t="inlineStr">
        <is>
          <t>Plus: D&amp;A</t>
        </is>
      </c>
      <c r="E66" s="14">
        <f>-E27</f>
        <v/>
      </c>
      <c r="F66" s="14">
        <f>-F27</f>
        <v/>
      </c>
      <c r="G66" s="14">
        <f>-G27</f>
        <v/>
      </c>
      <c r="I66" s="8" t="inlineStr">
        <is>
          <t>=-E27</t>
        </is>
      </c>
    </row>
    <row r="67">
      <c r="B67" s="17" t="inlineStr">
        <is>
          <t>Less: increase in receivables</t>
        </is>
      </c>
      <c r="E67" s="14">
        <f>E46</f>
        <v/>
      </c>
      <c r="F67" s="14">
        <f>F46</f>
        <v/>
      </c>
      <c r="G67" s="14">
        <f>G46</f>
        <v/>
      </c>
      <c r="I67" s="8" t="inlineStr">
        <is>
          <t>=E46</t>
        </is>
      </c>
    </row>
    <row r="68">
      <c r="B68" s="17" t="inlineStr">
        <is>
          <t>Less: increase in inventory</t>
        </is>
      </c>
      <c r="E68" s="14">
        <f>E47</f>
        <v/>
      </c>
      <c r="F68" s="14">
        <f>F47</f>
        <v/>
      </c>
      <c r="G68" s="14">
        <f>G47</f>
        <v/>
      </c>
      <c r="I68" s="8" t="inlineStr">
        <is>
          <t>=E47</t>
        </is>
      </c>
    </row>
    <row r="69">
      <c r="B69" s="17" t="inlineStr">
        <is>
          <t>Plus: increase in payables</t>
        </is>
      </c>
      <c r="E69" s="14">
        <f>E48</f>
        <v/>
      </c>
      <c r="F69" s="14">
        <f>F48</f>
        <v/>
      </c>
      <c r="G69" s="14">
        <f>G48</f>
        <v/>
      </c>
      <c r="I69" s="8" t="inlineStr">
        <is>
          <t>=E48</t>
        </is>
      </c>
    </row>
    <row r="70">
      <c r="B70" s="15" t="inlineStr">
        <is>
          <t>Cash from operations</t>
        </is>
      </c>
      <c r="E70" s="16">
        <f>SUM(E65:E69)</f>
        <v/>
      </c>
      <c r="F70" s="16">
        <f>SUM(F65:F69)</f>
        <v/>
      </c>
      <c r="G70" s="16">
        <f>SUM(G65:G69)</f>
        <v/>
      </c>
      <c r="I70" s="8" t="inlineStr">
        <is>
          <t>=SUM(E65:E69)</t>
        </is>
      </c>
    </row>
    <row r="71">
      <c r="B71" s="17" t="inlineStr">
        <is>
          <t>Capex</t>
        </is>
      </c>
      <c r="E71" s="14">
        <f>-E38</f>
        <v/>
      </c>
      <c r="F71" s="14">
        <f>-F38</f>
        <v/>
      </c>
      <c r="G71" s="14">
        <f>-G38</f>
        <v/>
      </c>
      <c r="I71" s="8" t="inlineStr">
        <is>
          <t>=-E38</t>
        </is>
      </c>
    </row>
    <row r="72">
      <c r="B72" s="15" t="inlineStr">
        <is>
          <t>Cash from investing</t>
        </is>
      </c>
      <c r="E72" s="16">
        <f>SUM(E71:E71)</f>
        <v/>
      </c>
      <c r="F72" s="16">
        <f>SUM(F71:F71)</f>
        <v/>
      </c>
      <c r="G72" s="16">
        <f>SUM(G71:G71)</f>
        <v/>
      </c>
      <c r="I72" s="8" t="inlineStr">
        <is>
          <t>=SUM(E71:E71)</t>
        </is>
      </c>
    </row>
    <row r="73">
      <c r="B73" s="17" t="inlineStr">
        <is>
          <t>Term loan amortization</t>
        </is>
      </c>
      <c r="E73" s="14">
        <f>-E17</f>
        <v/>
      </c>
      <c r="F73" s="14">
        <f>-F17</f>
        <v/>
      </c>
      <c r="G73" s="14">
        <f>-G17</f>
        <v/>
      </c>
      <c r="I73" s="8" t="inlineStr">
        <is>
          <t>=-E17</t>
        </is>
      </c>
    </row>
    <row r="74">
      <c r="B74" s="17" t="inlineStr">
        <is>
          <t>Revolver draw</t>
        </is>
      </c>
      <c r="E74" s="14">
        <f>E87</f>
        <v/>
      </c>
      <c r="F74" s="14">
        <f>F87</f>
        <v/>
      </c>
      <c r="G74" s="14">
        <f>G87</f>
        <v/>
      </c>
      <c r="I74" s="8" t="inlineStr">
        <is>
          <t>=E87</t>
        </is>
      </c>
    </row>
    <row r="75">
      <c r="B75" s="17" t="inlineStr">
        <is>
          <t>Revolver repayment</t>
        </is>
      </c>
      <c r="E75" s="14">
        <f>-E88</f>
        <v/>
      </c>
      <c r="F75" s="14">
        <f>-F88</f>
        <v/>
      </c>
      <c r="G75" s="14">
        <f>-G88</f>
        <v/>
      </c>
      <c r="I75" s="8" t="inlineStr">
        <is>
          <t>=-E88</t>
        </is>
      </c>
    </row>
    <row r="76">
      <c r="B76" s="17" t="inlineStr">
        <is>
          <t>Dividends</t>
        </is>
      </c>
      <c r="E76" s="14">
        <f>E34</f>
        <v/>
      </c>
      <c r="F76" s="14">
        <f>F34</f>
        <v/>
      </c>
      <c r="G76" s="14">
        <f>G34</f>
        <v/>
      </c>
      <c r="I76" s="8" t="inlineStr">
        <is>
          <t>=E34</t>
        </is>
      </c>
    </row>
    <row r="77">
      <c r="B77" s="15" t="inlineStr">
        <is>
          <t>Cash from financing</t>
        </is>
      </c>
      <c r="E77" s="16">
        <f>SUM(E73:E76)</f>
        <v/>
      </c>
      <c r="F77" s="16">
        <f>SUM(F73:F76)</f>
        <v/>
      </c>
      <c r="G77" s="16">
        <f>SUM(G73:G76)</f>
        <v/>
      </c>
      <c r="I77" s="8" t="inlineStr">
        <is>
          <t>=SUM(E73:E76)</t>
        </is>
      </c>
    </row>
    <row r="78">
      <c r="B78" s="15" t="inlineStr">
        <is>
          <t>Net change in cash</t>
        </is>
      </c>
      <c r="E78" s="16">
        <f>E70+E72+E77</f>
        <v/>
      </c>
      <c r="F78" s="16">
        <f>F70+F72+F77</f>
        <v/>
      </c>
      <c r="G78" s="16">
        <f>G70+G72+G77</f>
        <v/>
      </c>
      <c r="I78" s="8" t="inlineStr">
        <is>
          <t>=E70+E72+E77</t>
        </is>
      </c>
    </row>
    <row r="79">
      <c r="B79" s="6" t="inlineStr">
        <is>
          <t>Beginning cash</t>
        </is>
      </c>
      <c r="E79" s="14">
        <f>D51</f>
        <v/>
      </c>
      <c r="F79" s="14">
        <f>E51</f>
        <v/>
      </c>
      <c r="G79" s="14">
        <f>F51</f>
        <v/>
      </c>
      <c r="I79" s="8" t="inlineStr">
        <is>
          <t>=D51</t>
        </is>
      </c>
    </row>
    <row r="80">
      <c r="B80" s="15" t="inlineStr">
        <is>
          <t>Ending cash</t>
        </is>
      </c>
      <c r="E80" s="16">
        <f>E79+E78</f>
        <v/>
      </c>
      <c r="F80" s="16">
        <f>F79+F78</f>
        <v/>
      </c>
      <c r="G80" s="16">
        <f>G79+G78</f>
        <v/>
      </c>
      <c r="I80" s="8" t="inlineStr">
        <is>
          <t>=E79+E78</t>
        </is>
      </c>
    </row>
    <row r="81">
      <c r="B81" s="6" t="inlineStr">
        <is>
          <t>Memo: cash before revolver</t>
        </is>
      </c>
      <c r="E81" s="14">
        <f>E79+E70+E72+E73+E76</f>
        <v/>
      </c>
      <c r="F81" s="14">
        <f>F79+F70+F72+F73+F76</f>
        <v/>
      </c>
      <c r="G81" s="14">
        <f>G79+G70+G72+G73+G76</f>
        <v/>
      </c>
      <c r="I81" s="8" t="inlineStr">
        <is>
          <t>=E79+E70+E72+E73+E76</t>
        </is>
      </c>
    </row>
    <row r="83">
      <c r="B83" s="4" t="inlineStr">
        <is>
          <t>Debt and revolver</t>
        </is>
      </c>
      <c r="C83" s="4" t="n"/>
      <c r="D83" s="5" t="inlineStr">
        <is>
          <t>2025A</t>
        </is>
      </c>
      <c r="E83" s="5" t="inlineStr">
        <is>
          <t>2026E</t>
        </is>
      </c>
      <c r="F83" s="5" t="inlineStr">
        <is>
          <t>2027E</t>
        </is>
      </c>
      <c r="G83" s="5" t="inlineStr">
        <is>
          <t>2028E</t>
        </is>
      </c>
      <c r="H83" s="4" t="n"/>
      <c r="I83" s="4" t="inlineStr">
        <is>
          <t>Formula in the 2026E column</t>
        </is>
      </c>
    </row>
    <row r="84">
      <c r="B84" s="6" t="inlineStr">
        <is>
          <t>Minimum cash</t>
        </is>
      </c>
      <c r="E84" s="14">
        <f>E19</f>
        <v/>
      </c>
      <c r="F84" s="14">
        <f>F19</f>
        <v/>
      </c>
      <c r="G84" s="14">
        <f>G19</f>
        <v/>
      </c>
      <c r="I84" s="8" t="inlineStr">
        <is>
          <t>=E19</t>
        </is>
      </c>
    </row>
    <row r="85">
      <c r="B85" s="6" t="inlineStr">
        <is>
          <t>Cash before revolver</t>
        </is>
      </c>
      <c r="E85" s="14">
        <f>E81</f>
        <v/>
      </c>
      <c r="F85" s="14">
        <f>F81</f>
        <v/>
      </c>
      <c r="G85" s="14">
        <f>G81</f>
        <v/>
      </c>
      <c r="I85" s="8" t="inlineStr">
        <is>
          <t>=E81</t>
        </is>
      </c>
    </row>
    <row r="86">
      <c r="B86" s="6" t="inlineStr">
        <is>
          <t>Beginning revolver</t>
        </is>
      </c>
      <c r="E86" s="14">
        <f>D89</f>
        <v/>
      </c>
      <c r="F86" s="14">
        <f>E89</f>
        <v/>
      </c>
      <c r="G86" s="14">
        <f>F89</f>
        <v/>
      </c>
      <c r="I86" s="8" t="inlineStr">
        <is>
          <t>=D89</t>
        </is>
      </c>
    </row>
    <row r="87">
      <c r="B87" s="17" t="inlineStr">
        <is>
          <t>Revolver draw</t>
        </is>
      </c>
      <c r="E87" s="14">
        <f>MAX(0,E84-E85)</f>
        <v/>
      </c>
      <c r="F87" s="14">
        <f>MAX(0,F84-F85)</f>
        <v/>
      </c>
      <c r="G87" s="14">
        <f>MAX(0,G84-G85)</f>
        <v/>
      </c>
      <c r="I87" s="8" t="inlineStr">
        <is>
          <t>=MAX(0,E84-E85)</t>
        </is>
      </c>
    </row>
    <row r="88">
      <c r="B88" s="17" t="inlineStr">
        <is>
          <t>Revolver repayment</t>
        </is>
      </c>
      <c r="E88" s="14">
        <f>MIN(E86,MAX(0,E85-E84))</f>
        <v/>
      </c>
      <c r="F88" s="14">
        <f>MIN(F86,MAX(0,F85-F84))</f>
        <v/>
      </c>
      <c r="G88" s="14">
        <f>MIN(G86,MAX(0,G85-G84))</f>
        <v/>
      </c>
      <c r="I88" s="8" t="inlineStr">
        <is>
          <t>=MIN(E86,MAX(0,E85-E84))</t>
        </is>
      </c>
    </row>
    <row r="89">
      <c r="B89" s="15" t="inlineStr">
        <is>
          <t>Ending revolver</t>
        </is>
      </c>
      <c r="D89" s="16">
        <f>D57</f>
        <v/>
      </c>
      <c r="E89" s="16">
        <f>E86+E87-E88</f>
        <v/>
      </c>
      <c r="F89" s="16">
        <f>F86+F87-F88</f>
        <v/>
      </c>
      <c r="G89" s="16">
        <f>G86+G87-G88</f>
        <v/>
      </c>
      <c r="I89" s="8" t="inlineStr">
        <is>
          <t>=E86+E87-E88</t>
        </is>
      </c>
    </row>
    <row r="90">
      <c r="B90" s="6" t="inlineStr">
        <is>
          <t>Beginning term loan</t>
        </is>
      </c>
      <c r="E90" s="14">
        <f>D92</f>
        <v/>
      </c>
      <c r="F90" s="14">
        <f>E92</f>
        <v/>
      </c>
      <c r="G90" s="14">
        <f>F92</f>
        <v/>
      </c>
      <c r="I90" s="8" t="inlineStr">
        <is>
          <t>=D92</t>
        </is>
      </c>
    </row>
    <row r="91">
      <c r="B91" s="17" t="inlineStr">
        <is>
          <t>Less: amortization</t>
        </is>
      </c>
      <c r="E91" s="14">
        <f>-E17</f>
        <v/>
      </c>
      <c r="F91" s="14">
        <f>-F17</f>
        <v/>
      </c>
      <c r="G91" s="14">
        <f>-G17</f>
        <v/>
      </c>
      <c r="I91" s="8" t="inlineStr">
        <is>
          <t>=-E17</t>
        </is>
      </c>
    </row>
    <row r="92">
      <c r="B92" s="15" t="inlineStr">
        <is>
          <t>Ending term loan</t>
        </is>
      </c>
      <c r="D92" s="16">
        <f>D58</f>
        <v/>
      </c>
      <c r="E92" s="16">
        <f>SUM(E90:E91)</f>
        <v/>
      </c>
      <c r="F92" s="16">
        <f>SUM(F90:F91)</f>
        <v/>
      </c>
      <c r="G92" s="16">
        <f>SUM(G90:G91)</f>
        <v/>
      </c>
      <c r="I92" s="8" t="inlineStr">
        <is>
          <t>=SUM(E90:E91)</t>
        </is>
      </c>
    </row>
    <row r="93">
      <c r="B93" s="15" t="inlineStr">
        <is>
          <t>Total debt (revolver plus term loan)</t>
        </is>
      </c>
      <c r="D93" s="16">
        <f>D89+D92</f>
        <v/>
      </c>
      <c r="E93" s="16">
        <f>E89+E92</f>
        <v/>
      </c>
      <c r="F93" s="16">
        <f>F89+F92</f>
        <v/>
      </c>
      <c r="G93" s="16">
        <f>G89+G92</f>
        <v/>
      </c>
      <c r="I93" s="8" t="inlineStr">
        <is>
          <t>=E89+E92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93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2" customWidth="1" min="8" max="8"/>
    <col width="40" customWidth="1" min="9" max="9"/>
  </cols>
  <sheetData>
    <row r="1">
      <c r="B1" s="1" t="inlineStr">
        <is>
          <t>Three statement model, modeling test build</t>
        </is>
      </c>
    </row>
    <row r="2">
      <c r="B2" s="2" t="inlineStr">
        <is>
          <t>$ millions, fiscal years ending December 31</t>
        </is>
      </c>
      <c r="D2" s="3" t="inlineStr">
        <is>
          <t>2025A</t>
        </is>
      </c>
      <c r="E2" s="3" t="inlineStr">
        <is>
          <t>2026E</t>
        </is>
      </c>
      <c r="F2" s="3" t="inlineStr">
        <is>
          <t>2027E</t>
        </is>
      </c>
      <c r="G2" s="3" t="inlineStr">
        <is>
          <t>2028E</t>
        </is>
      </c>
    </row>
    <row r="4">
      <c r="B4" s="4" t="inlineStr">
        <is>
          <t>Drivers</t>
        </is>
      </c>
      <c r="C4" s="4" t="n"/>
      <c r="D4" s="5" t="inlineStr">
        <is>
          <t>2025A</t>
        </is>
      </c>
      <c r="E4" s="5" t="inlineStr">
        <is>
          <t>2026E</t>
        </is>
      </c>
      <c r="F4" s="5" t="inlineStr">
        <is>
          <t>2027E</t>
        </is>
      </c>
      <c r="G4" s="5" t="inlineStr">
        <is>
          <t>2028E</t>
        </is>
      </c>
    </row>
    <row r="5">
      <c r="B5" s="6" t="inlineStr">
        <is>
          <t>Circularity toggle (1 = on, 0 = off)</t>
        </is>
      </c>
      <c r="D5" s="7" t="n">
        <v>0</v>
      </c>
    </row>
    <row r="6">
      <c r="B6" s="6" t="inlineStr">
        <is>
          <t>Revenue growth</t>
        </is>
      </c>
      <c r="D6" s="9" t="inlineStr">
        <is>
          <t>n/a</t>
        </is>
      </c>
      <c r="E6" s="10" t="n">
        <v>0.1</v>
      </c>
      <c r="F6" s="10" t="n">
        <v>0.08</v>
      </c>
      <c r="G6" s="10" t="n">
        <v>0.06</v>
      </c>
    </row>
    <row r="7">
      <c r="B7" s="6" t="inlineStr">
        <is>
          <t>Gross margin</t>
        </is>
      </c>
      <c r="D7" s="11">
        <f>D24/D22</f>
        <v/>
      </c>
      <c r="E7" s="10" t="n">
        <v>0.4</v>
      </c>
      <c r="F7" s="10" t="n">
        <v>0.4</v>
      </c>
      <c r="G7" s="10" t="n">
        <v>0.4</v>
      </c>
    </row>
    <row r="8">
      <c r="B8" s="6" t="inlineStr">
        <is>
          <t>SG&amp;A, % of revenue</t>
        </is>
      </c>
      <c r="D8" s="11">
        <f>-D25/D22</f>
        <v/>
      </c>
      <c r="E8" s="10" t="n">
        <v>0.25</v>
      </c>
      <c r="F8" s="10" t="n">
        <v>0.25</v>
      </c>
      <c r="G8" s="10" t="n">
        <v>0.25</v>
      </c>
    </row>
    <row r="9">
      <c r="B9" s="6" t="inlineStr">
        <is>
          <t>D&amp;A, % of revenue</t>
        </is>
      </c>
      <c r="D9" s="11">
        <f>-D27/D22</f>
        <v/>
      </c>
      <c r="E9" s="10" t="n">
        <v>0.04</v>
      </c>
      <c r="F9" s="10" t="n">
        <v>0.04</v>
      </c>
      <c r="G9" s="10" t="n">
        <v>0.04</v>
      </c>
    </row>
    <row r="10">
      <c r="B10" s="6" t="inlineStr">
        <is>
          <t>Capex, % of revenue</t>
        </is>
      </c>
      <c r="D10" s="11">
        <f>D38/D22</f>
        <v/>
      </c>
      <c r="E10" s="10" t="n">
        <v>0.05</v>
      </c>
      <c r="F10" s="10" t="n">
        <v>0.12</v>
      </c>
      <c r="G10" s="10" t="n">
        <v>0.05</v>
      </c>
    </row>
    <row r="11">
      <c r="B11" s="6" t="inlineStr">
        <is>
          <t>DSO (days, on revenue)</t>
        </is>
      </c>
      <c r="D11" s="12">
        <f>D43/D22*365</f>
        <v/>
      </c>
      <c r="E11" s="7" t="n">
        <v>45</v>
      </c>
      <c r="F11" s="7" t="n">
        <v>45</v>
      </c>
      <c r="G11" s="7" t="n">
        <v>45</v>
      </c>
    </row>
    <row r="12">
      <c r="B12" s="6" t="inlineStr">
        <is>
          <t>DIO (days, on COGS)</t>
        </is>
      </c>
      <c r="D12" s="12">
        <f>-D44/D23*365</f>
        <v/>
      </c>
      <c r="E12" s="7" t="n">
        <v>60</v>
      </c>
      <c r="F12" s="7" t="n">
        <v>60</v>
      </c>
      <c r="G12" s="7" t="n">
        <v>60</v>
      </c>
    </row>
    <row r="13">
      <c r="B13" s="6" t="inlineStr">
        <is>
          <t>DPO (days, on COGS)</t>
        </is>
      </c>
      <c r="D13" s="12">
        <f>-D45/D23*365</f>
        <v/>
      </c>
      <c r="E13" s="7" t="n">
        <v>30</v>
      </c>
      <c r="F13" s="7" t="n">
        <v>30</v>
      </c>
      <c r="G13" s="7" t="n">
        <v>30</v>
      </c>
    </row>
    <row r="14">
      <c r="B14" s="6" t="inlineStr">
        <is>
          <t>Tax rate</t>
        </is>
      </c>
      <c r="D14" s="11">
        <f>-D32/D31</f>
        <v/>
      </c>
      <c r="E14" s="10" t="n">
        <v>0.2</v>
      </c>
      <c r="F14" s="10" t="n">
        <v>0.2</v>
      </c>
      <c r="G14" s="10" t="n">
        <v>0.2</v>
      </c>
    </row>
    <row r="15">
      <c r="B15" s="6" t="inlineStr">
        <is>
          <t>Interest rate on debt</t>
        </is>
      </c>
      <c r="D15" s="11">
        <f>-D29/D93</f>
        <v/>
      </c>
      <c r="E15" s="10" t="n">
        <v>0.06</v>
      </c>
      <c r="F15" s="10" t="n">
        <v>0.06</v>
      </c>
      <c r="G15" s="10" t="n">
        <v>0.06</v>
      </c>
    </row>
    <row r="16">
      <c r="B16" s="6" t="inlineStr">
        <is>
          <t>Interest rate on cash</t>
        </is>
      </c>
      <c r="D16" s="9" t="inlineStr">
        <is>
          <t>n/a</t>
        </is>
      </c>
      <c r="E16" s="10" t="n">
        <v>0.02</v>
      </c>
      <c r="F16" s="10" t="n">
        <v>0.02</v>
      </c>
      <c r="G16" s="10" t="n">
        <v>0.02</v>
      </c>
    </row>
    <row r="17">
      <c r="B17" s="6" t="inlineStr">
        <is>
          <t>Term loan amortization</t>
        </is>
      </c>
      <c r="D17" s="9" t="inlineStr">
        <is>
          <t>n/a</t>
        </is>
      </c>
      <c r="E17" s="13" t="n">
        <v>30</v>
      </c>
      <c r="F17" s="13" t="n">
        <v>30</v>
      </c>
      <c r="G17" s="13" t="n">
        <v>30</v>
      </c>
    </row>
    <row r="18">
      <c r="B18" s="6" t="inlineStr">
        <is>
          <t>Dividend payout, % of net income</t>
        </is>
      </c>
      <c r="D18" s="11">
        <f>-D34/D33</f>
        <v/>
      </c>
      <c r="E18" s="10" t="n">
        <v>0.25</v>
      </c>
      <c r="F18" s="10" t="n">
        <v>0.25</v>
      </c>
      <c r="G18" s="10" t="n">
        <v>0.25</v>
      </c>
    </row>
    <row r="19">
      <c r="B19" s="6" t="inlineStr">
        <is>
          <t>Minimum cash</t>
        </is>
      </c>
      <c r="D19" s="9" t="inlineStr">
        <is>
          <t>n/a</t>
        </is>
      </c>
      <c r="E19" s="13" t="n">
        <v>50</v>
      </c>
      <c r="F19" s="13" t="n">
        <v>50</v>
      </c>
      <c r="G19" s="13" t="n">
        <v>50</v>
      </c>
    </row>
    <row r="21">
      <c r="B21" s="4" t="inlineStr">
        <is>
          <t>Income statement</t>
        </is>
      </c>
      <c r="C21" s="4" t="n"/>
      <c r="D21" s="5" t="inlineStr">
        <is>
          <t>2025A</t>
        </is>
      </c>
      <c r="E21" s="5" t="inlineStr">
        <is>
          <t>2026E</t>
        </is>
      </c>
      <c r="F21" s="5" t="inlineStr">
        <is>
          <t>2027E</t>
        </is>
      </c>
      <c r="G21" s="5" t="inlineStr">
        <is>
          <t>2028E</t>
        </is>
      </c>
    </row>
    <row r="22">
      <c r="B22" s="6" t="inlineStr">
        <is>
          <t>Revenue</t>
        </is>
      </c>
      <c r="D22" s="13" t="n">
        <v>1000</v>
      </c>
      <c r="E22" s="14">
        <f>D22*(1+E6)</f>
        <v/>
      </c>
      <c r="F22" s="14">
        <f>E22*(1+F6)</f>
        <v/>
      </c>
      <c r="G22" s="14">
        <f>F22*(1+G6)</f>
        <v/>
      </c>
    </row>
    <row r="23">
      <c r="B23" s="6" t="inlineStr">
        <is>
          <t>Cost of goods sold</t>
        </is>
      </c>
      <c r="D23" s="13" t="n">
        <v>-600</v>
      </c>
      <c r="E23" s="14">
        <f>-E22*(1-E7)</f>
        <v/>
      </c>
      <c r="F23" s="14">
        <f>-F22*(1-F7)</f>
        <v/>
      </c>
      <c r="G23" s="14">
        <f>-G22*(1-G7)</f>
        <v/>
      </c>
    </row>
    <row r="24">
      <c r="B24" s="15" t="inlineStr">
        <is>
          <t>Gross profit</t>
        </is>
      </c>
      <c r="D24" s="16">
        <f>SUM(D22:D23)</f>
        <v/>
      </c>
      <c r="E24" s="16">
        <f>SUM(E22:E23)</f>
        <v/>
      </c>
      <c r="F24" s="16">
        <f>SUM(F22:F23)</f>
        <v/>
      </c>
      <c r="G24" s="16">
        <f>SUM(G22:G23)</f>
        <v/>
      </c>
    </row>
    <row r="25">
      <c r="B25" s="6" t="inlineStr">
        <is>
          <t>SG&amp;A</t>
        </is>
      </c>
      <c r="D25" s="13" t="n">
        <v>-250</v>
      </c>
      <c r="E25" s="14">
        <f>-E22*E8</f>
        <v/>
      </c>
      <c r="F25" s="14">
        <f>-F22*F8</f>
        <v/>
      </c>
      <c r="G25" s="14">
        <f>-G22*G8</f>
        <v/>
      </c>
    </row>
    <row r="26">
      <c r="B26" s="15" t="inlineStr">
        <is>
          <t>EBITDA</t>
        </is>
      </c>
      <c r="D26" s="16">
        <f>SUM(D24:D25)</f>
        <v/>
      </c>
      <c r="E26" s="16">
        <f>SUM(E24:E25)</f>
        <v/>
      </c>
      <c r="F26" s="16">
        <f>SUM(F24:F25)</f>
        <v/>
      </c>
      <c r="G26" s="16">
        <f>SUM(G24:G25)</f>
        <v/>
      </c>
    </row>
    <row r="27">
      <c r="B27" s="6" t="inlineStr">
        <is>
          <t>D&amp;A</t>
        </is>
      </c>
      <c r="D27" s="13" t="n">
        <v>-40</v>
      </c>
      <c r="E27" s="14">
        <f>-E22*E9</f>
        <v/>
      </c>
      <c r="F27" s="14">
        <f>-F22*F9</f>
        <v/>
      </c>
      <c r="G27" s="14">
        <f>-G22*G9</f>
        <v/>
      </c>
    </row>
    <row r="28">
      <c r="B28" s="15" t="inlineStr">
        <is>
          <t>EBIT</t>
        </is>
      </c>
      <c r="D28" s="16">
        <f>SUM(D26:D27)</f>
        <v/>
      </c>
      <c r="E28" s="16">
        <f>SUM(E26:E27)</f>
        <v/>
      </c>
      <c r="F28" s="16">
        <f>SUM(F26:F27)</f>
        <v/>
      </c>
      <c r="G28" s="16">
        <f>SUM(G26:G27)</f>
        <v/>
      </c>
    </row>
    <row r="29">
      <c r="B29" s="6" t="inlineStr">
        <is>
          <t>Interest expense</t>
        </is>
      </c>
      <c r="D29" s="13" t="n">
        <v>-18</v>
      </c>
      <c r="E29" s="14">
        <f>-E15*IF($D$5=1,AVERAGE(D93,E93),D93)</f>
        <v/>
      </c>
      <c r="F29" s="14">
        <f>-F15*IF($D$5=1,AVERAGE(E93,F93),E93)</f>
        <v/>
      </c>
      <c r="G29" s="14">
        <f>-G15*IF($D$5=1,AVERAGE(F93,G93),F93)</f>
        <v/>
      </c>
    </row>
    <row r="30">
      <c r="B30" s="6" t="inlineStr">
        <is>
          <t>Interest income</t>
        </is>
      </c>
      <c r="D30" s="13" t="n">
        <v>2</v>
      </c>
      <c r="E30" s="14">
        <f>E16*D51</f>
        <v/>
      </c>
      <c r="F30" s="14">
        <f>F16*E51</f>
        <v/>
      </c>
      <c r="G30" s="14">
        <f>G16*F51</f>
        <v/>
      </c>
    </row>
    <row r="31">
      <c r="B31" s="15" t="inlineStr">
        <is>
          <t>Pre-tax income</t>
        </is>
      </c>
      <c r="D31" s="16">
        <f>SUM(D28:D30)</f>
        <v/>
      </c>
      <c r="E31" s="16">
        <f>SUM(E28:E30)</f>
        <v/>
      </c>
      <c r="F31" s="16">
        <f>SUM(F28:F30)</f>
        <v/>
      </c>
      <c r="G31" s="16">
        <f>SUM(G28:G30)</f>
        <v/>
      </c>
    </row>
    <row r="32">
      <c r="B32" s="6" t="inlineStr">
        <is>
          <t>Taxes</t>
        </is>
      </c>
      <c r="D32" s="13" t="n">
        <v>-18.8</v>
      </c>
      <c r="E32" s="14">
        <f>-MAX(0,E31)*E14</f>
        <v/>
      </c>
      <c r="F32" s="14">
        <f>-MAX(0,F31)*F14</f>
        <v/>
      </c>
      <c r="G32" s="14">
        <f>-MAX(0,G31)*G14</f>
        <v/>
      </c>
    </row>
    <row r="33">
      <c r="B33" s="15" t="inlineStr">
        <is>
          <t>Net income</t>
        </is>
      </c>
      <c r="D33" s="16">
        <f>SUM(D31:D32)</f>
        <v/>
      </c>
      <c r="E33" s="16">
        <f>SUM(E31:E32)</f>
        <v/>
      </c>
      <c r="F33" s="16">
        <f>SUM(F31:F32)</f>
        <v/>
      </c>
      <c r="G33" s="16">
        <f>SUM(G31:G32)</f>
        <v/>
      </c>
    </row>
    <row r="34">
      <c r="B34" s="6" t="inlineStr">
        <is>
          <t>Dividends</t>
        </is>
      </c>
      <c r="D34" s="13" t="n">
        <v>-18.8</v>
      </c>
      <c r="E34" s="14">
        <f>-E33*E18</f>
        <v/>
      </c>
      <c r="F34" s="14">
        <f>-F33*F18</f>
        <v/>
      </c>
      <c r="G34" s="14">
        <f>-G33*G18</f>
        <v/>
      </c>
    </row>
    <row r="36">
      <c r="B36" s="4" t="inlineStr">
        <is>
          <t>PP&amp;E schedule</t>
        </is>
      </c>
      <c r="C36" s="4" t="n"/>
      <c r="D36" s="5" t="inlineStr">
        <is>
          <t>2025A</t>
        </is>
      </c>
      <c r="E36" s="5" t="inlineStr">
        <is>
          <t>2026E</t>
        </is>
      </c>
      <c r="F36" s="5" t="inlineStr">
        <is>
          <t>2027E</t>
        </is>
      </c>
      <c r="G36" s="5" t="inlineStr">
        <is>
          <t>2028E</t>
        </is>
      </c>
    </row>
    <row r="37">
      <c r="B37" s="6" t="inlineStr">
        <is>
          <t>Beginning net PP&amp;E</t>
        </is>
      </c>
      <c r="E37" s="14">
        <f>D40</f>
        <v/>
      </c>
      <c r="F37" s="14">
        <f>E40</f>
        <v/>
      </c>
      <c r="G37" s="14">
        <f>F40</f>
        <v/>
      </c>
    </row>
    <row r="38">
      <c r="B38" s="17" t="inlineStr">
        <is>
          <t>Plus: capex</t>
        </is>
      </c>
      <c r="D38" s="13" t="n">
        <v>50</v>
      </c>
      <c r="E38" s="14">
        <f>E22*E10</f>
        <v/>
      </c>
      <c r="F38" s="14">
        <f>F22*F10</f>
        <v/>
      </c>
      <c r="G38" s="14">
        <f>G22*G10</f>
        <v/>
      </c>
    </row>
    <row r="39">
      <c r="B39" s="17" t="inlineStr">
        <is>
          <t>Less: D&amp;A</t>
        </is>
      </c>
      <c r="D39" s="14">
        <f>D27</f>
        <v/>
      </c>
      <c r="E39" s="14">
        <f>E27</f>
        <v/>
      </c>
      <c r="F39" s="14">
        <f>F27</f>
        <v/>
      </c>
      <c r="G39" s="14">
        <f>G27</f>
        <v/>
      </c>
    </row>
    <row r="40">
      <c r="B40" s="15" t="inlineStr">
        <is>
          <t>Ending net PP&amp;E</t>
        </is>
      </c>
      <c r="D40" s="16">
        <f>D54</f>
        <v/>
      </c>
      <c r="E40" s="16">
        <f>SUM(E37:E39)</f>
        <v/>
      </c>
      <c r="F40" s="16">
        <f>SUM(F37:F39)</f>
        <v/>
      </c>
      <c r="G40" s="16">
        <f>SUM(G37:G39)</f>
        <v/>
      </c>
    </row>
    <row r="42">
      <c r="B42" s="4" t="inlineStr">
        <is>
          <t>Working capital schedule</t>
        </is>
      </c>
      <c r="C42" s="4" t="n"/>
      <c r="D42" s="5" t="inlineStr">
        <is>
          <t>2025A</t>
        </is>
      </c>
      <c r="E42" s="5" t="inlineStr">
        <is>
          <t>2026E</t>
        </is>
      </c>
      <c r="F42" s="5" t="inlineStr">
        <is>
          <t>2027E</t>
        </is>
      </c>
      <c r="G42" s="5" t="inlineStr">
        <is>
          <t>2028E</t>
        </is>
      </c>
    </row>
    <row r="43">
      <c r="B43" s="6" t="inlineStr">
        <is>
          <t>Accounts receivable</t>
        </is>
      </c>
      <c r="D43" s="14">
        <f>D52</f>
        <v/>
      </c>
      <c r="E43" s="14">
        <f>E22*E11/365</f>
        <v/>
      </c>
      <c r="F43" s="14">
        <f>F22*F11/365</f>
        <v/>
      </c>
      <c r="G43" s="14">
        <f>G22*G11/365</f>
        <v/>
      </c>
    </row>
    <row r="44">
      <c r="B44" s="6" t="inlineStr">
        <is>
          <t>Inventory</t>
        </is>
      </c>
      <c r="D44" s="14">
        <f>D53</f>
        <v/>
      </c>
      <c r="E44" s="14">
        <f>-E23*E12/365</f>
        <v/>
      </c>
      <c r="F44" s="14">
        <f>-F23*F12/365</f>
        <v/>
      </c>
      <c r="G44" s="14">
        <f>-G23*G12/365</f>
        <v/>
      </c>
    </row>
    <row r="45">
      <c r="B45" s="6" t="inlineStr">
        <is>
          <t>Accounts payable</t>
        </is>
      </c>
      <c r="D45" s="14">
        <f>D56</f>
        <v/>
      </c>
      <c r="E45" s="14">
        <f>-E23*E13/365</f>
        <v/>
      </c>
      <c r="F45" s="14">
        <f>-F23*F13/365</f>
        <v/>
      </c>
      <c r="G45" s="14">
        <f>-G23*G13/365</f>
        <v/>
      </c>
    </row>
    <row r="46">
      <c r="B46" s="6" t="inlineStr">
        <is>
          <t>(Increase) in receivables</t>
        </is>
      </c>
      <c r="E46" s="14">
        <f>-(E43-D43)</f>
        <v/>
      </c>
      <c r="F46" s="14">
        <f>-(F43-E43)</f>
        <v/>
      </c>
      <c r="G46" s="14">
        <f>-(G43-F43)</f>
        <v/>
      </c>
    </row>
    <row r="47">
      <c r="B47" s="6" t="inlineStr">
        <is>
          <t>(Increase) in inventory</t>
        </is>
      </c>
      <c r="E47" s="14">
        <f>-(E44-D44)</f>
        <v/>
      </c>
      <c r="F47" s="14">
        <f>-(F44-E44)</f>
        <v/>
      </c>
      <c r="G47" s="14">
        <f>-(G44-F44)</f>
        <v/>
      </c>
    </row>
    <row r="48">
      <c r="B48" s="6" t="inlineStr">
        <is>
          <t>Increase in payables</t>
        </is>
      </c>
      <c r="E48" s="14">
        <f>E45-D45</f>
        <v/>
      </c>
      <c r="F48" s="14">
        <f>F45-E45</f>
        <v/>
      </c>
      <c r="G48" s="14">
        <f>G45-F45</f>
        <v/>
      </c>
    </row>
    <row r="50">
      <c r="B50" s="4" t="inlineStr">
        <is>
          <t>Balance sheet</t>
        </is>
      </c>
      <c r="C50" s="4" t="n"/>
      <c r="D50" s="5" t="inlineStr">
        <is>
          <t>2025A</t>
        </is>
      </c>
      <c r="E50" s="5" t="inlineStr">
        <is>
          <t>2026E</t>
        </is>
      </c>
      <c r="F50" s="5" t="inlineStr">
        <is>
          <t>2027E</t>
        </is>
      </c>
      <c r="G50" s="5" t="inlineStr">
        <is>
          <t>2028E</t>
        </is>
      </c>
      <c r="H50" s="4" t="inlineStr"/>
      <c r="I50" s="4" t="inlineStr">
        <is>
          <t>What went wrong</t>
        </is>
      </c>
    </row>
    <row r="51">
      <c r="B51" s="6" t="inlineStr">
        <is>
          <t>Cash</t>
        </is>
      </c>
      <c r="D51" s="13" t="n">
        <v>80</v>
      </c>
      <c r="E51" s="14">
        <f>E80</f>
        <v/>
      </c>
      <c r="F51" s="14">
        <f>F80</f>
        <v/>
      </c>
      <c r="G51" s="14">
        <f>G80</f>
        <v/>
      </c>
    </row>
    <row r="52">
      <c r="B52" s="6" t="inlineStr">
        <is>
          <t>Accounts receivable</t>
        </is>
      </c>
      <c r="D52" s="13" t="n">
        <v>125</v>
      </c>
      <c r="E52" s="14">
        <f>E43</f>
        <v/>
      </c>
      <c r="F52" s="14">
        <f>F43</f>
        <v/>
      </c>
      <c r="G52" s="14">
        <f>G43</f>
        <v/>
      </c>
    </row>
    <row r="53">
      <c r="B53" s="6" t="inlineStr">
        <is>
          <t>Inventory</t>
        </is>
      </c>
      <c r="D53" s="13" t="n">
        <v>100</v>
      </c>
      <c r="E53" s="14">
        <f>E44</f>
        <v/>
      </c>
      <c r="F53" s="14">
        <f>F44</f>
        <v/>
      </c>
      <c r="G53" s="14">
        <f>G44</f>
        <v/>
      </c>
    </row>
    <row r="54">
      <c r="B54" s="6" t="inlineStr">
        <is>
          <t>Net PP&amp;E</t>
        </is>
      </c>
      <c r="D54" s="13" t="n">
        <v>412</v>
      </c>
      <c r="E54" s="14">
        <f>E40</f>
        <v/>
      </c>
      <c r="F54" s="14">
        <f>F40</f>
        <v/>
      </c>
      <c r="G54" s="14">
        <f>G40</f>
        <v/>
      </c>
      <c r="I54" s="20" t="inlineStr">
        <is>
          <t>Typed 412.0, the filing says 400.0</t>
        </is>
      </c>
    </row>
    <row r="55">
      <c r="B55" s="15" t="inlineStr">
        <is>
          <t>Total assets</t>
        </is>
      </c>
      <c r="D55" s="16">
        <f>SUM(D51:D54)</f>
        <v/>
      </c>
      <c r="E55" s="16">
        <f>SUM(E51:E54)</f>
        <v/>
      </c>
      <c r="F55" s="16">
        <f>SUM(F51:F54)</f>
        <v/>
      </c>
      <c r="G55" s="16">
        <f>SUM(G51:G54)</f>
        <v/>
      </c>
    </row>
    <row r="56">
      <c r="B56" s="6" t="inlineStr">
        <is>
          <t>Accounts payable</t>
        </is>
      </c>
      <c r="D56" s="13" t="n">
        <v>50</v>
      </c>
      <c r="E56" s="14">
        <f>E45</f>
        <v/>
      </c>
      <c r="F56" s="14">
        <f>F45</f>
        <v/>
      </c>
      <c r="G56" s="14">
        <f>G45</f>
        <v/>
      </c>
    </row>
    <row r="57">
      <c r="B57" s="6" t="inlineStr">
        <is>
          <t>Revolver</t>
        </is>
      </c>
      <c r="D57" s="13" t="n">
        <v>0</v>
      </c>
      <c r="E57" s="14">
        <f>E89</f>
        <v/>
      </c>
      <c r="F57" s="14">
        <f>F89</f>
        <v/>
      </c>
      <c r="G57" s="14">
        <f>G89</f>
        <v/>
      </c>
    </row>
    <row r="58">
      <c r="B58" s="6" t="inlineStr">
        <is>
          <t>Term loan</t>
        </is>
      </c>
      <c r="D58" s="13" t="n">
        <v>300</v>
      </c>
      <c r="E58" s="14">
        <f>E92</f>
        <v/>
      </c>
      <c r="F58" s="14">
        <f>F92</f>
        <v/>
      </c>
      <c r="G58" s="14">
        <f>G92</f>
        <v/>
      </c>
    </row>
    <row r="59">
      <c r="B59" s="6" t="inlineStr">
        <is>
          <t>Common stock</t>
        </is>
      </c>
      <c r="D59" s="13" t="n">
        <v>100</v>
      </c>
      <c r="E59" s="14">
        <f>D59</f>
        <v/>
      </c>
      <c r="F59" s="14">
        <f>E59</f>
        <v/>
      </c>
      <c r="G59" s="14">
        <f>F59</f>
        <v/>
      </c>
    </row>
    <row r="60">
      <c r="B60" s="6" t="inlineStr">
        <is>
          <t>Retained earnings</t>
        </is>
      </c>
      <c r="D60" s="13" t="n">
        <v>255</v>
      </c>
      <c r="E60" s="14">
        <f>D60+E33+E34</f>
        <v/>
      </c>
      <c r="F60" s="14">
        <f>E60+F33+F34</f>
        <v/>
      </c>
      <c r="G60" s="14">
        <f>F60+G33+G34</f>
        <v/>
      </c>
    </row>
    <row r="61">
      <c r="B61" s="15" t="inlineStr">
        <is>
          <t>Total liabilities and equity</t>
        </is>
      </c>
      <c r="D61" s="16">
        <f>SUM(D56:D60)</f>
        <v/>
      </c>
      <c r="E61" s="16">
        <f>SUM(E56:E60)</f>
        <v/>
      </c>
      <c r="F61" s="16">
        <f>SUM(F56:F60)</f>
        <v/>
      </c>
      <c r="G61" s="16">
        <f>SUM(G56:G60)</f>
        <v/>
      </c>
    </row>
    <row r="62">
      <c r="B62" s="21" t="inlineStr">
        <is>
          <t>Balance check (assets minus liabilities and equity)</t>
        </is>
      </c>
      <c r="D62" s="22">
        <f>D55-D61</f>
        <v/>
      </c>
      <c r="E62" s="22">
        <f>E55-E61</f>
        <v/>
      </c>
      <c r="F62" s="22">
        <f>F55-F61</f>
        <v/>
      </c>
      <c r="G62" s="22">
        <f>G55-G61</f>
        <v/>
      </c>
      <c r="I62" s="23" t="inlineStr">
        <is>
          <t>Same 12.0 every year: a one time break</t>
        </is>
      </c>
    </row>
    <row r="64">
      <c r="B64" s="4" t="inlineStr">
        <is>
          <t>Cash flow statement</t>
        </is>
      </c>
      <c r="C64" s="4" t="n"/>
      <c r="D64" s="5" t="inlineStr">
        <is>
          <t>2025A</t>
        </is>
      </c>
      <c r="E64" s="5" t="inlineStr">
        <is>
          <t>2026E</t>
        </is>
      </c>
      <c r="F64" s="5" t="inlineStr">
        <is>
          <t>2027E</t>
        </is>
      </c>
      <c r="G64" s="5" t="inlineStr">
        <is>
          <t>2028E</t>
        </is>
      </c>
    </row>
    <row r="65">
      <c r="B65" s="6" t="inlineStr">
        <is>
          <t>Net income</t>
        </is>
      </c>
      <c r="E65" s="14">
        <f>E33</f>
        <v/>
      </c>
      <c r="F65" s="14">
        <f>F33</f>
        <v/>
      </c>
      <c r="G65" s="14">
        <f>G33</f>
        <v/>
      </c>
    </row>
    <row r="66">
      <c r="B66" s="17" t="inlineStr">
        <is>
          <t>Plus: D&amp;A</t>
        </is>
      </c>
      <c r="E66" s="14">
        <f>-E27</f>
        <v/>
      </c>
      <c r="F66" s="14">
        <f>-F27</f>
        <v/>
      </c>
      <c r="G66" s="14">
        <f>-G27</f>
        <v/>
      </c>
    </row>
    <row r="67">
      <c r="B67" s="17" t="inlineStr">
        <is>
          <t>Less: increase in receivables</t>
        </is>
      </c>
      <c r="E67" s="14">
        <f>E46</f>
        <v/>
      </c>
      <c r="F67" s="14">
        <f>F46</f>
        <v/>
      </c>
      <c r="G67" s="14">
        <f>G46</f>
        <v/>
      </c>
    </row>
    <row r="68">
      <c r="B68" s="17" t="inlineStr">
        <is>
          <t>Less: increase in inventory</t>
        </is>
      </c>
      <c r="E68" s="14">
        <f>E47</f>
        <v/>
      </c>
      <c r="F68" s="14">
        <f>F47</f>
        <v/>
      </c>
      <c r="G68" s="14">
        <f>G47</f>
        <v/>
      </c>
    </row>
    <row r="69">
      <c r="B69" s="17" t="inlineStr">
        <is>
          <t>Plus: increase in payables</t>
        </is>
      </c>
      <c r="E69" s="14">
        <f>E48</f>
        <v/>
      </c>
      <c r="F69" s="14">
        <f>F48</f>
        <v/>
      </c>
      <c r="G69" s="14">
        <f>G48</f>
        <v/>
      </c>
    </row>
    <row r="70">
      <c r="B70" s="15" t="inlineStr">
        <is>
          <t>Cash from operations</t>
        </is>
      </c>
      <c r="E70" s="16">
        <f>SUM(E65:E69)</f>
        <v/>
      </c>
      <c r="F70" s="16">
        <f>SUM(F65:F69)</f>
        <v/>
      </c>
      <c r="G70" s="16">
        <f>SUM(G65:G69)</f>
        <v/>
      </c>
    </row>
    <row r="71">
      <c r="B71" s="17" t="inlineStr">
        <is>
          <t>Capex</t>
        </is>
      </c>
      <c r="E71" s="14">
        <f>-E38</f>
        <v/>
      </c>
      <c r="F71" s="14">
        <f>-F38</f>
        <v/>
      </c>
      <c r="G71" s="14">
        <f>-G38</f>
        <v/>
      </c>
    </row>
    <row r="72">
      <c r="B72" s="15" t="inlineStr">
        <is>
          <t>Cash from investing</t>
        </is>
      </c>
      <c r="E72" s="16">
        <f>SUM(E71:E71)</f>
        <v/>
      </c>
      <c r="F72" s="16">
        <f>SUM(F71:F71)</f>
        <v/>
      </c>
      <c r="G72" s="16">
        <f>SUM(G71:G71)</f>
        <v/>
      </c>
    </row>
    <row r="73">
      <c r="B73" s="17" t="inlineStr">
        <is>
          <t>Term loan amortization</t>
        </is>
      </c>
      <c r="E73" s="14">
        <f>-E17</f>
        <v/>
      </c>
      <c r="F73" s="14">
        <f>-F17</f>
        <v/>
      </c>
      <c r="G73" s="14">
        <f>-G17</f>
        <v/>
      </c>
    </row>
    <row r="74">
      <c r="B74" s="17" t="inlineStr">
        <is>
          <t>Revolver draw</t>
        </is>
      </c>
      <c r="E74" s="14">
        <f>E87</f>
        <v/>
      </c>
      <c r="F74" s="14">
        <f>F87</f>
        <v/>
      </c>
      <c r="G74" s="14">
        <f>G87</f>
        <v/>
      </c>
    </row>
    <row r="75">
      <c r="B75" s="17" t="inlineStr">
        <is>
          <t>Revolver repayment</t>
        </is>
      </c>
      <c r="E75" s="14">
        <f>-E88</f>
        <v/>
      </c>
      <c r="F75" s="14">
        <f>-F88</f>
        <v/>
      </c>
      <c r="G75" s="14">
        <f>-G88</f>
        <v/>
      </c>
    </row>
    <row r="76">
      <c r="B76" s="17" t="inlineStr">
        <is>
          <t>Dividends</t>
        </is>
      </c>
      <c r="E76" s="14">
        <f>E34</f>
        <v/>
      </c>
      <c r="F76" s="14">
        <f>F34</f>
        <v/>
      </c>
      <c r="G76" s="14">
        <f>G34</f>
        <v/>
      </c>
    </row>
    <row r="77">
      <c r="B77" s="15" t="inlineStr">
        <is>
          <t>Cash from financing</t>
        </is>
      </c>
      <c r="E77" s="16">
        <f>SUM(E73:E76)</f>
        <v/>
      </c>
      <c r="F77" s="16">
        <f>SUM(F73:F76)</f>
        <v/>
      </c>
      <c r="G77" s="16">
        <f>SUM(G73:G76)</f>
        <v/>
      </c>
    </row>
    <row r="78">
      <c r="B78" s="15" t="inlineStr">
        <is>
          <t>Net change in cash</t>
        </is>
      </c>
      <c r="E78" s="16">
        <f>E70+E72+E77</f>
        <v/>
      </c>
      <c r="F78" s="16">
        <f>F70+F72+F77</f>
        <v/>
      </c>
      <c r="G78" s="16">
        <f>G70+G72+G77</f>
        <v/>
      </c>
    </row>
    <row r="79">
      <c r="B79" s="6" t="inlineStr">
        <is>
          <t>Beginning cash</t>
        </is>
      </c>
      <c r="E79" s="14">
        <f>D51</f>
        <v/>
      </c>
      <c r="F79" s="14">
        <f>E51</f>
        <v/>
      </c>
      <c r="G79" s="14">
        <f>F51</f>
        <v/>
      </c>
    </row>
    <row r="80">
      <c r="B80" s="15" t="inlineStr">
        <is>
          <t>Ending cash</t>
        </is>
      </c>
      <c r="E80" s="16">
        <f>E79+E78</f>
        <v/>
      </c>
      <c r="F80" s="16">
        <f>F79+F78</f>
        <v/>
      </c>
      <c r="G80" s="16">
        <f>G79+G78</f>
        <v/>
      </c>
    </row>
    <row r="81">
      <c r="B81" s="6" t="inlineStr">
        <is>
          <t>Memo: cash before revolver</t>
        </is>
      </c>
      <c r="E81" s="14">
        <f>E79+E70+E72+E73+E76</f>
        <v/>
      </c>
      <c r="F81" s="14">
        <f>F79+F70+F72+F73+F76</f>
        <v/>
      </c>
      <c r="G81" s="14">
        <f>G79+G70+G72+G73+G76</f>
        <v/>
      </c>
    </row>
    <row r="83">
      <c r="B83" s="4" t="inlineStr">
        <is>
          <t>Debt and revolver</t>
        </is>
      </c>
      <c r="C83" s="4" t="n"/>
      <c r="D83" s="5" t="inlineStr">
        <is>
          <t>2025A</t>
        </is>
      </c>
      <c r="E83" s="5" t="inlineStr">
        <is>
          <t>2026E</t>
        </is>
      </c>
      <c r="F83" s="5" t="inlineStr">
        <is>
          <t>2027E</t>
        </is>
      </c>
      <c r="G83" s="5" t="inlineStr">
        <is>
          <t>2028E</t>
        </is>
      </c>
    </row>
    <row r="84">
      <c r="B84" s="6" t="inlineStr">
        <is>
          <t>Minimum cash</t>
        </is>
      </c>
      <c r="E84" s="14">
        <f>E19</f>
        <v/>
      </c>
      <c r="F84" s="14">
        <f>F19</f>
        <v/>
      </c>
      <c r="G84" s="14">
        <f>G19</f>
        <v/>
      </c>
    </row>
    <row r="85">
      <c r="B85" s="6" t="inlineStr">
        <is>
          <t>Cash before revolver</t>
        </is>
      </c>
      <c r="E85" s="14">
        <f>E81</f>
        <v/>
      </c>
      <c r="F85" s="14">
        <f>F81</f>
        <v/>
      </c>
      <c r="G85" s="14">
        <f>G81</f>
        <v/>
      </c>
    </row>
    <row r="86">
      <c r="B86" s="6" t="inlineStr">
        <is>
          <t>Beginning revolver</t>
        </is>
      </c>
      <c r="E86" s="14">
        <f>D89</f>
        <v/>
      </c>
      <c r="F86" s="14">
        <f>E89</f>
        <v/>
      </c>
      <c r="G86" s="14">
        <f>F89</f>
        <v/>
      </c>
    </row>
    <row r="87">
      <c r="B87" s="17" t="inlineStr">
        <is>
          <t>Revolver draw</t>
        </is>
      </c>
      <c r="E87" s="14">
        <f>MAX(0,E84-E85)</f>
        <v/>
      </c>
      <c r="F87" s="14">
        <f>MAX(0,F84-F85)</f>
        <v/>
      </c>
      <c r="G87" s="14">
        <f>MAX(0,G84-G85)</f>
        <v/>
      </c>
    </row>
    <row r="88">
      <c r="B88" s="17" t="inlineStr">
        <is>
          <t>Revolver repayment</t>
        </is>
      </c>
      <c r="E88" s="14">
        <f>MIN(E86,MAX(0,E85-E84))</f>
        <v/>
      </c>
      <c r="F88" s="14">
        <f>MIN(F86,MAX(0,F85-F84))</f>
        <v/>
      </c>
      <c r="G88" s="14">
        <f>MIN(G86,MAX(0,G85-G84))</f>
        <v/>
      </c>
    </row>
    <row r="89">
      <c r="B89" s="15" t="inlineStr">
        <is>
          <t>Ending revolver</t>
        </is>
      </c>
      <c r="D89" s="16">
        <f>D57</f>
        <v/>
      </c>
      <c r="E89" s="16">
        <f>E86+E87-E88</f>
        <v/>
      </c>
      <c r="F89" s="16">
        <f>F86+F87-F88</f>
        <v/>
      </c>
      <c r="G89" s="16">
        <f>G86+G87-G88</f>
        <v/>
      </c>
    </row>
    <row r="90">
      <c r="B90" s="6" t="inlineStr">
        <is>
          <t>Beginning term loan</t>
        </is>
      </c>
      <c r="E90" s="14">
        <f>D92</f>
        <v/>
      </c>
      <c r="F90" s="14">
        <f>E92</f>
        <v/>
      </c>
      <c r="G90" s="14">
        <f>F92</f>
        <v/>
      </c>
    </row>
    <row r="91">
      <c r="B91" s="17" t="inlineStr">
        <is>
          <t>Less: amortization</t>
        </is>
      </c>
      <c r="E91" s="14">
        <f>-E17</f>
        <v/>
      </c>
      <c r="F91" s="14">
        <f>-F17</f>
        <v/>
      </c>
      <c r="G91" s="14">
        <f>-G17</f>
        <v/>
      </c>
    </row>
    <row r="92">
      <c r="B92" s="15" t="inlineStr">
        <is>
          <t>Ending term loan</t>
        </is>
      </c>
      <c r="D92" s="16">
        <f>D58</f>
        <v/>
      </c>
      <c r="E92" s="16">
        <f>SUM(E90:E91)</f>
        <v/>
      </c>
      <c r="F92" s="16">
        <f>SUM(F90:F91)</f>
        <v/>
      </c>
      <c r="G92" s="16">
        <f>SUM(G90:G91)</f>
        <v/>
      </c>
    </row>
    <row r="93">
      <c r="B93" s="15" t="inlineStr">
        <is>
          <t>Total debt (revolver plus term loan)</t>
        </is>
      </c>
      <c r="D93" s="16">
        <f>D89+D92</f>
        <v/>
      </c>
      <c r="E93" s="16">
        <f>E89+E92</f>
        <v/>
      </c>
      <c r="F93" s="16">
        <f>F89+F92</f>
        <v/>
      </c>
      <c r="G93" s="16">
        <f>G89+G92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93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2" customWidth="1" min="8" max="8"/>
    <col width="40" customWidth="1" min="9" max="9"/>
  </cols>
  <sheetData>
    <row r="1">
      <c r="B1" s="1" t="inlineStr">
        <is>
          <t>Three statement model, modeling test build</t>
        </is>
      </c>
    </row>
    <row r="2">
      <c r="B2" s="2" t="inlineStr">
        <is>
          <t>$ millions, fiscal years ending December 31</t>
        </is>
      </c>
      <c r="D2" s="3" t="inlineStr">
        <is>
          <t>2025A</t>
        </is>
      </c>
      <c r="E2" s="3" t="inlineStr">
        <is>
          <t>2026E</t>
        </is>
      </c>
      <c r="F2" s="3" t="inlineStr">
        <is>
          <t>2027E</t>
        </is>
      </c>
      <c r="G2" s="3" t="inlineStr">
        <is>
          <t>2028E</t>
        </is>
      </c>
    </row>
    <row r="4">
      <c r="B4" s="4" t="inlineStr">
        <is>
          <t>Drivers</t>
        </is>
      </c>
      <c r="C4" s="4" t="n"/>
      <c r="D4" s="5" t="inlineStr">
        <is>
          <t>2025A</t>
        </is>
      </c>
      <c r="E4" s="5" t="inlineStr">
        <is>
          <t>2026E</t>
        </is>
      </c>
      <c r="F4" s="5" t="inlineStr">
        <is>
          <t>2027E</t>
        </is>
      </c>
      <c r="G4" s="5" t="inlineStr">
        <is>
          <t>2028E</t>
        </is>
      </c>
    </row>
    <row r="5">
      <c r="B5" s="6" t="inlineStr">
        <is>
          <t>Circularity toggle (1 = on, 0 = off)</t>
        </is>
      </c>
      <c r="D5" s="7" t="n">
        <v>0</v>
      </c>
    </row>
    <row r="6">
      <c r="B6" s="6" t="inlineStr">
        <is>
          <t>Revenue growth</t>
        </is>
      </c>
      <c r="D6" s="9" t="inlineStr">
        <is>
          <t>n/a</t>
        </is>
      </c>
      <c r="E6" s="10" t="n">
        <v>0.1</v>
      </c>
      <c r="F6" s="10" t="n">
        <v>0.08</v>
      </c>
      <c r="G6" s="10" t="n">
        <v>0.06</v>
      </c>
    </row>
    <row r="7">
      <c r="B7" s="6" t="inlineStr">
        <is>
          <t>Gross margin</t>
        </is>
      </c>
      <c r="D7" s="11">
        <f>D24/D22</f>
        <v/>
      </c>
      <c r="E7" s="10" t="n">
        <v>0.4</v>
      </c>
      <c r="F7" s="10" t="n">
        <v>0.4</v>
      </c>
      <c r="G7" s="10" t="n">
        <v>0.4</v>
      </c>
    </row>
    <row r="8">
      <c r="B8" s="6" t="inlineStr">
        <is>
          <t>SG&amp;A, % of revenue</t>
        </is>
      </c>
      <c r="D8" s="11">
        <f>-D25/D22</f>
        <v/>
      </c>
      <c r="E8" s="10" t="n">
        <v>0.25</v>
      </c>
      <c r="F8" s="10" t="n">
        <v>0.25</v>
      </c>
      <c r="G8" s="10" t="n">
        <v>0.25</v>
      </c>
    </row>
    <row r="9">
      <c r="B9" s="6" t="inlineStr">
        <is>
          <t>D&amp;A, % of revenue</t>
        </is>
      </c>
      <c r="D9" s="11">
        <f>-D27/D22</f>
        <v/>
      </c>
      <c r="E9" s="10" t="n">
        <v>0.04</v>
      </c>
      <c r="F9" s="10" t="n">
        <v>0.04</v>
      </c>
      <c r="G9" s="10" t="n">
        <v>0.04</v>
      </c>
    </row>
    <row r="10">
      <c r="B10" s="6" t="inlineStr">
        <is>
          <t>Capex, % of revenue</t>
        </is>
      </c>
      <c r="D10" s="11">
        <f>D38/D22</f>
        <v/>
      </c>
      <c r="E10" s="10" t="n">
        <v>0.05</v>
      </c>
      <c r="F10" s="10" t="n">
        <v>0.12</v>
      </c>
      <c r="G10" s="10" t="n">
        <v>0.05</v>
      </c>
    </row>
    <row r="11">
      <c r="B11" s="6" t="inlineStr">
        <is>
          <t>DSO (days, on revenue)</t>
        </is>
      </c>
      <c r="D11" s="12">
        <f>D43/D22*365</f>
        <v/>
      </c>
      <c r="E11" s="7" t="n">
        <v>45</v>
      </c>
      <c r="F11" s="7" t="n">
        <v>45</v>
      </c>
      <c r="G11" s="7" t="n">
        <v>45</v>
      </c>
    </row>
    <row r="12">
      <c r="B12" s="6" t="inlineStr">
        <is>
          <t>DIO (days, on COGS)</t>
        </is>
      </c>
      <c r="D12" s="12">
        <f>-D44/D23*365</f>
        <v/>
      </c>
      <c r="E12" s="7" t="n">
        <v>60</v>
      </c>
      <c r="F12" s="7" t="n">
        <v>60</v>
      </c>
      <c r="G12" s="7" t="n">
        <v>60</v>
      </c>
    </row>
    <row r="13">
      <c r="B13" s="6" t="inlineStr">
        <is>
          <t>DPO (days, on COGS)</t>
        </is>
      </c>
      <c r="D13" s="12">
        <f>-D45/D23*365</f>
        <v/>
      </c>
      <c r="E13" s="7" t="n">
        <v>30</v>
      </c>
      <c r="F13" s="7" t="n">
        <v>30</v>
      </c>
      <c r="G13" s="7" t="n">
        <v>30</v>
      </c>
    </row>
    <row r="14">
      <c r="B14" s="6" t="inlineStr">
        <is>
          <t>Tax rate</t>
        </is>
      </c>
      <c r="D14" s="11">
        <f>-D32/D31</f>
        <v/>
      </c>
      <c r="E14" s="10" t="n">
        <v>0.2</v>
      </c>
      <c r="F14" s="10" t="n">
        <v>0.2</v>
      </c>
      <c r="G14" s="10" t="n">
        <v>0.2</v>
      </c>
    </row>
    <row r="15">
      <c r="B15" s="6" t="inlineStr">
        <is>
          <t>Interest rate on debt</t>
        </is>
      </c>
      <c r="D15" s="11">
        <f>-D29/D93</f>
        <v/>
      </c>
      <c r="E15" s="10" t="n">
        <v>0.06</v>
      </c>
      <c r="F15" s="10" t="n">
        <v>0.06</v>
      </c>
      <c r="G15" s="10" t="n">
        <v>0.06</v>
      </c>
    </row>
    <row r="16">
      <c r="B16" s="6" t="inlineStr">
        <is>
          <t>Interest rate on cash</t>
        </is>
      </c>
      <c r="D16" s="9" t="inlineStr">
        <is>
          <t>n/a</t>
        </is>
      </c>
      <c r="E16" s="10" t="n">
        <v>0.02</v>
      </c>
      <c r="F16" s="10" t="n">
        <v>0.02</v>
      </c>
      <c r="G16" s="10" t="n">
        <v>0.02</v>
      </c>
    </row>
    <row r="17">
      <c r="B17" s="6" t="inlineStr">
        <is>
          <t>Term loan amortization</t>
        </is>
      </c>
      <c r="D17" s="9" t="inlineStr">
        <is>
          <t>n/a</t>
        </is>
      </c>
      <c r="E17" s="13" t="n">
        <v>30</v>
      </c>
      <c r="F17" s="13" t="n">
        <v>30</v>
      </c>
      <c r="G17" s="13" t="n">
        <v>30</v>
      </c>
    </row>
    <row r="18">
      <c r="B18" s="6" t="inlineStr">
        <is>
          <t>Dividend payout, % of net income</t>
        </is>
      </c>
      <c r="D18" s="11">
        <f>-D34/D33</f>
        <v/>
      </c>
      <c r="E18" s="10" t="n">
        <v>0.25</v>
      </c>
      <c r="F18" s="10" t="n">
        <v>0.25</v>
      </c>
      <c r="G18" s="10" t="n">
        <v>0.25</v>
      </c>
    </row>
    <row r="19">
      <c r="B19" s="6" t="inlineStr">
        <is>
          <t>Minimum cash</t>
        </is>
      </c>
      <c r="D19" s="9" t="inlineStr">
        <is>
          <t>n/a</t>
        </is>
      </c>
      <c r="E19" s="13" t="n">
        <v>50</v>
      </c>
      <c r="F19" s="13" t="n">
        <v>50</v>
      </c>
      <c r="G19" s="13" t="n">
        <v>50</v>
      </c>
    </row>
    <row r="21">
      <c r="B21" s="4" t="inlineStr">
        <is>
          <t>Income statement</t>
        </is>
      </c>
      <c r="C21" s="4" t="n"/>
      <c r="D21" s="5" t="inlineStr">
        <is>
          <t>2025A</t>
        </is>
      </c>
      <c r="E21" s="5" t="inlineStr">
        <is>
          <t>2026E</t>
        </is>
      </c>
      <c r="F21" s="5" t="inlineStr">
        <is>
          <t>2027E</t>
        </is>
      </c>
      <c r="G21" s="5" t="inlineStr">
        <is>
          <t>2028E</t>
        </is>
      </c>
    </row>
    <row r="22">
      <c r="B22" s="6" t="inlineStr">
        <is>
          <t>Revenue</t>
        </is>
      </c>
      <c r="D22" s="13" t="n">
        <v>1000</v>
      </c>
      <c r="E22" s="14">
        <f>D22*(1+E6)</f>
        <v/>
      </c>
      <c r="F22" s="14">
        <f>E22*(1+F6)</f>
        <v/>
      </c>
      <c r="G22" s="14">
        <f>F22*(1+G6)</f>
        <v/>
      </c>
    </row>
    <row r="23">
      <c r="B23" s="6" t="inlineStr">
        <is>
          <t>Cost of goods sold</t>
        </is>
      </c>
      <c r="D23" s="13" t="n">
        <v>-600</v>
      </c>
      <c r="E23" s="14">
        <f>-E22*(1-E7)</f>
        <v/>
      </c>
      <c r="F23" s="14">
        <f>-F22*(1-F7)</f>
        <v/>
      </c>
      <c r="G23" s="14">
        <f>-G22*(1-G7)</f>
        <v/>
      </c>
    </row>
    <row r="24">
      <c r="B24" s="15" t="inlineStr">
        <is>
          <t>Gross profit</t>
        </is>
      </c>
      <c r="D24" s="16">
        <f>SUM(D22:D23)</f>
        <v/>
      </c>
      <c r="E24" s="16">
        <f>SUM(E22:E23)</f>
        <v/>
      </c>
      <c r="F24" s="16">
        <f>SUM(F22:F23)</f>
        <v/>
      </c>
      <c r="G24" s="16">
        <f>SUM(G22:G23)</f>
        <v/>
      </c>
    </row>
    <row r="25">
      <c r="B25" s="6" t="inlineStr">
        <is>
          <t>SG&amp;A</t>
        </is>
      </c>
      <c r="D25" s="13" t="n">
        <v>-250</v>
      </c>
      <c r="E25" s="14">
        <f>-E22*E8</f>
        <v/>
      </c>
      <c r="F25" s="14">
        <f>-F22*F8</f>
        <v/>
      </c>
      <c r="G25" s="14">
        <f>-G22*G8</f>
        <v/>
      </c>
    </row>
    <row r="26">
      <c r="B26" s="15" t="inlineStr">
        <is>
          <t>EBITDA</t>
        </is>
      </c>
      <c r="D26" s="16">
        <f>SUM(D24:D25)</f>
        <v/>
      </c>
      <c r="E26" s="16">
        <f>SUM(E24:E25)</f>
        <v/>
      </c>
      <c r="F26" s="16">
        <f>SUM(F24:F25)</f>
        <v/>
      </c>
      <c r="G26" s="16">
        <f>SUM(G24:G25)</f>
        <v/>
      </c>
    </row>
    <row r="27">
      <c r="B27" s="6" t="inlineStr">
        <is>
          <t>D&amp;A</t>
        </is>
      </c>
      <c r="D27" s="13" t="n">
        <v>-40</v>
      </c>
      <c r="E27" s="14">
        <f>-E22*E9</f>
        <v/>
      </c>
      <c r="F27" s="14">
        <f>-F22*F9</f>
        <v/>
      </c>
      <c r="G27" s="14">
        <f>-G22*G9</f>
        <v/>
      </c>
    </row>
    <row r="28">
      <c r="B28" s="15" t="inlineStr">
        <is>
          <t>EBIT</t>
        </is>
      </c>
      <c r="D28" s="16">
        <f>SUM(D26:D27)</f>
        <v/>
      </c>
      <c r="E28" s="16">
        <f>SUM(E26:E27)</f>
        <v/>
      </c>
      <c r="F28" s="16">
        <f>SUM(F26:F27)</f>
        <v/>
      </c>
      <c r="G28" s="16">
        <f>SUM(G26:G27)</f>
        <v/>
      </c>
    </row>
    <row r="29">
      <c r="B29" s="6" t="inlineStr">
        <is>
          <t>Interest expense</t>
        </is>
      </c>
      <c r="D29" s="13" t="n">
        <v>-18</v>
      </c>
      <c r="E29" s="14">
        <f>-E15*IF($D$5=1,AVERAGE(D93,E93),D93)</f>
        <v/>
      </c>
      <c r="F29" s="14">
        <f>-F15*IF($D$5=1,AVERAGE(E93,F93),E93)</f>
        <v/>
      </c>
      <c r="G29" s="14">
        <f>-G15*IF($D$5=1,AVERAGE(F93,G93),F93)</f>
        <v/>
      </c>
    </row>
    <row r="30">
      <c r="B30" s="6" t="inlineStr">
        <is>
          <t>Interest income</t>
        </is>
      </c>
      <c r="D30" s="13" t="n">
        <v>2</v>
      </c>
      <c r="E30" s="14">
        <f>E16*D51</f>
        <v/>
      </c>
      <c r="F30" s="14">
        <f>F16*E51</f>
        <v/>
      </c>
      <c r="G30" s="14">
        <f>G16*F51</f>
        <v/>
      </c>
    </row>
    <row r="31">
      <c r="B31" s="15" t="inlineStr">
        <is>
          <t>Pre-tax income</t>
        </is>
      </c>
      <c r="D31" s="16">
        <f>SUM(D28:D30)</f>
        <v/>
      </c>
      <c r="E31" s="16">
        <f>SUM(E28:E30)</f>
        <v/>
      </c>
      <c r="F31" s="16">
        <f>SUM(F28:F30)</f>
        <v/>
      </c>
      <c r="G31" s="16">
        <f>SUM(G28:G30)</f>
        <v/>
      </c>
    </row>
    <row r="32">
      <c r="B32" s="6" t="inlineStr">
        <is>
          <t>Taxes</t>
        </is>
      </c>
      <c r="D32" s="13" t="n">
        <v>-18.8</v>
      </c>
      <c r="E32" s="14">
        <f>-MAX(0,E31)*E14</f>
        <v/>
      </c>
      <c r="F32" s="14">
        <f>-MAX(0,F31)*F14</f>
        <v/>
      </c>
      <c r="G32" s="14">
        <f>-MAX(0,G31)*G14</f>
        <v/>
      </c>
    </row>
    <row r="33">
      <c r="B33" s="15" t="inlineStr">
        <is>
          <t>Net income</t>
        </is>
      </c>
      <c r="D33" s="16">
        <f>SUM(D31:D32)</f>
        <v/>
      </c>
      <c r="E33" s="16">
        <f>SUM(E31:E32)</f>
        <v/>
      </c>
      <c r="F33" s="16">
        <f>SUM(F31:F32)</f>
        <v/>
      </c>
      <c r="G33" s="16">
        <f>SUM(G31:G32)</f>
        <v/>
      </c>
    </row>
    <row r="34">
      <c r="B34" s="6" t="inlineStr">
        <is>
          <t>Dividends</t>
        </is>
      </c>
      <c r="D34" s="13" t="n">
        <v>-18.8</v>
      </c>
      <c r="E34" s="14">
        <f>-E33*E18</f>
        <v/>
      </c>
      <c r="F34" s="14">
        <f>-F33*F18</f>
        <v/>
      </c>
      <c r="G34" s="14">
        <f>-G33*G18</f>
        <v/>
      </c>
    </row>
    <row r="36">
      <c r="B36" s="4" t="inlineStr">
        <is>
          <t>PP&amp;E schedule</t>
        </is>
      </c>
      <c r="C36" s="4" t="n"/>
      <c r="D36" s="5" t="inlineStr">
        <is>
          <t>2025A</t>
        </is>
      </c>
      <c r="E36" s="5" t="inlineStr">
        <is>
          <t>2026E</t>
        </is>
      </c>
      <c r="F36" s="5" t="inlineStr">
        <is>
          <t>2027E</t>
        </is>
      </c>
      <c r="G36" s="5" t="inlineStr">
        <is>
          <t>2028E</t>
        </is>
      </c>
    </row>
    <row r="37">
      <c r="B37" s="6" t="inlineStr">
        <is>
          <t>Beginning net PP&amp;E</t>
        </is>
      </c>
      <c r="E37" s="14">
        <f>D40</f>
        <v/>
      </c>
      <c r="F37" s="14">
        <f>E40</f>
        <v/>
      </c>
      <c r="G37" s="14">
        <f>F40</f>
        <v/>
      </c>
    </row>
    <row r="38">
      <c r="B38" s="17" t="inlineStr">
        <is>
          <t>Plus: capex</t>
        </is>
      </c>
      <c r="D38" s="13" t="n">
        <v>50</v>
      </c>
      <c r="E38" s="14">
        <f>E22*E10</f>
        <v/>
      </c>
      <c r="F38" s="14">
        <f>F22*F10</f>
        <v/>
      </c>
      <c r="G38" s="14">
        <f>G22*G10</f>
        <v/>
      </c>
    </row>
    <row r="39">
      <c r="B39" s="17" t="inlineStr">
        <is>
          <t>Less: D&amp;A</t>
        </is>
      </c>
      <c r="D39" s="14">
        <f>D27</f>
        <v/>
      </c>
      <c r="E39" s="14">
        <f>E27</f>
        <v/>
      </c>
      <c r="F39" s="14">
        <f>F27</f>
        <v/>
      </c>
      <c r="G39" s="14">
        <f>G27</f>
        <v/>
      </c>
    </row>
    <row r="40">
      <c r="B40" s="15" t="inlineStr">
        <is>
          <t>Ending net PP&amp;E</t>
        </is>
      </c>
      <c r="D40" s="16">
        <f>D54</f>
        <v/>
      </c>
      <c r="E40" s="16">
        <f>SUM(E37:E38)</f>
        <v/>
      </c>
      <c r="F40" s="16">
        <f>SUM(F37:F38)</f>
        <v/>
      </c>
      <c r="G40" s="16">
        <f>SUM(G37:G38)</f>
        <v/>
      </c>
    </row>
    <row r="42">
      <c r="B42" s="4" t="inlineStr">
        <is>
          <t>Working capital schedule</t>
        </is>
      </c>
      <c r="C42" s="4" t="n"/>
      <c r="D42" s="5" t="inlineStr">
        <is>
          <t>2025A</t>
        </is>
      </c>
      <c r="E42" s="5" t="inlineStr">
        <is>
          <t>2026E</t>
        </is>
      </c>
      <c r="F42" s="5" t="inlineStr">
        <is>
          <t>2027E</t>
        </is>
      </c>
      <c r="G42" s="5" t="inlineStr">
        <is>
          <t>2028E</t>
        </is>
      </c>
    </row>
    <row r="43">
      <c r="B43" s="6" t="inlineStr">
        <is>
          <t>Accounts receivable</t>
        </is>
      </c>
      <c r="D43" s="14">
        <f>D52</f>
        <v/>
      </c>
      <c r="E43" s="14">
        <f>E22*E11/365</f>
        <v/>
      </c>
      <c r="F43" s="14">
        <f>F22*F11/365</f>
        <v/>
      </c>
      <c r="G43" s="14">
        <f>G22*G11/365</f>
        <v/>
      </c>
    </row>
    <row r="44">
      <c r="B44" s="6" t="inlineStr">
        <is>
          <t>Inventory</t>
        </is>
      </c>
      <c r="D44" s="14">
        <f>D53</f>
        <v/>
      </c>
      <c r="E44" s="14">
        <f>-E23*E12/365</f>
        <v/>
      </c>
      <c r="F44" s="14">
        <f>-F23*F12/365</f>
        <v/>
      </c>
      <c r="G44" s="14">
        <f>-G23*G12/365</f>
        <v/>
      </c>
    </row>
    <row r="45">
      <c r="B45" s="6" t="inlineStr">
        <is>
          <t>Accounts payable</t>
        </is>
      </c>
      <c r="D45" s="14">
        <f>D56</f>
        <v/>
      </c>
      <c r="E45" s="14">
        <f>-E23*E13/365</f>
        <v/>
      </c>
      <c r="F45" s="14">
        <f>-F23*F13/365</f>
        <v/>
      </c>
      <c r="G45" s="14">
        <f>-G23*G13/365</f>
        <v/>
      </c>
    </row>
    <row r="46">
      <c r="B46" s="6" t="inlineStr">
        <is>
          <t>(Increase) in receivables</t>
        </is>
      </c>
      <c r="E46" s="14">
        <f>-(E43-D43)</f>
        <v/>
      </c>
      <c r="F46" s="14">
        <f>-(F43-E43)</f>
        <v/>
      </c>
      <c r="G46" s="14">
        <f>-(G43-F43)</f>
        <v/>
      </c>
    </row>
    <row r="47">
      <c r="B47" s="6" t="inlineStr">
        <is>
          <t>(Increase) in inventory</t>
        </is>
      </c>
      <c r="E47" s="14">
        <f>-(E44-D44)</f>
        <v/>
      </c>
      <c r="F47" s="14">
        <f>-(F44-E44)</f>
        <v/>
      </c>
      <c r="G47" s="14">
        <f>-(G44-F44)</f>
        <v/>
      </c>
    </row>
    <row r="48">
      <c r="B48" s="6" t="inlineStr">
        <is>
          <t>Increase in payables</t>
        </is>
      </c>
      <c r="E48" s="14">
        <f>E45-D45</f>
        <v/>
      </c>
      <c r="F48" s="14">
        <f>F45-E45</f>
        <v/>
      </c>
      <c r="G48" s="14">
        <f>G45-F45</f>
        <v/>
      </c>
    </row>
    <row r="50">
      <c r="B50" s="4" t="inlineStr">
        <is>
          <t>Balance sheet</t>
        </is>
      </c>
      <c r="C50" s="4" t="n"/>
      <c r="D50" s="5" t="inlineStr">
        <is>
          <t>2025A</t>
        </is>
      </c>
      <c r="E50" s="5" t="inlineStr">
        <is>
          <t>2026E</t>
        </is>
      </c>
      <c r="F50" s="5" t="inlineStr">
        <is>
          <t>2027E</t>
        </is>
      </c>
      <c r="G50" s="5" t="inlineStr">
        <is>
          <t>2028E</t>
        </is>
      </c>
      <c r="H50" s="4" t="inlineStr"/>
      <c r="I50" s="4" t="inlineStr">
        <is>
          <t>What went wrong</t>
        </is>
      </c>
    </row>
    <row r="51">
      <c r="B51" s="6" t="inlineStr">
        <is>
          <t>Cash</t>
        </is>
      </c>
      <c r="D51" s="13" t="n">
        <v>80</v>
      </c>
      <c r="E51" s="14">
        <f>E80</f>
        <v/>
      </c>
      <c r="F51" s="14">
        <f>F80</f>
        <v/>
      </c>
      <c r="G51" s="14">
        <f>G80</f>
        <v/>
      </c>
    </row>
    <row r="52">
      <c r="B52" s="6" t="inlineStr">
        <is>
          <t>Accounts receivable</t>
        </is>
      </c>
      <c r="D52" s="13" t="n">
        <v>125</v>
      </c>
      <c r="E52" s="14">
        <f>E43</f>
        <v/>
      </c>
      <c r="F52" s="14">
        <f>F43</f>
        <v/>
      </c>
      <c r="G52" s="14">
        <f>G43</f>
        <v/>
      </c>
    </row>
    <row r="53">
      <c r="B53" s="6" t="inlineStr">
        <is>
          <t>Inventory</t>
        </is>
      </c>
      <c r="D53" s="13" t="n">
        <v>100</v>
      </c>
      <c r="E53" s="14">
        <f>E44</f>
        <v/>
      </c>
      <c r="F53" s="14">
        <f>F44</f>
        <v/>
      </c>
      <c r="G53" s="14">
        <f>G44</f>
        <v/>
      </c>
    </row>
    <row r="54">
      <c r="B54" s="6" t="inlineStr">
        <is>
          <t>Net PP&amp;E</t>
        </is>
      </c>
      <c r="D54" s="13" t="n">
        <v>400</v>
      </c>
      <c r="E54" s="14">
        <f>E40</f>
        <v/>
      </c>
      <c r="F54" s="14">
        <f>F40</f>
        <v/>
      </c>
      <c r="G54" s="14">
        <f>G40</f>
        <v/>
      </c>
      <c r="I54" s="20" t="inlineStr">
        <is>
          <t>PP&amp;E roll never subtracts D&amp;A</t>
        </is>
      </c>
    </row>
    <row r="55">
      <c r="B55" s="15" t="inlineStr">
        <is>
          <t>Total assets</t>
        </is>
      </c>
      <c r="D55" s="16">
        <f>SUM(D51:D54)</f>
        <v/>
      </c>
      <c r="E55" s="16">
        <f>SUM(E51:E54)</f>
        <v/>
      </c>
      <c r="F55" s="16">
        <f>SUM(F51:F54)</f>
        <v/>
      </c>
      <c r="G55" s="16">
        <f>SUM(G51:G54)</f>
        <v/>
      </c>
    </row>
    <row r="56">
      <c r="B56" s="6" t="inlineStr">
        <is>
          <t>Accounts payable</t>
        </is>
      </c>
      <c r="D56" s="13" t="n">
        <v>50</v>
      </c>
      <c r="E56" s="14">
        <f>E45</f>
        <v/>
      </c>
      <c r="F56" s="14">
        <f>F45</f>
        <v/>
      </c>
      <c r="G56" s="14">
        <f>G45</f>
        <v/>
      </c>
    </row>
    <row r="57">
      <c r="B57" s="6" t="inlineStr">
        <is>
          <t>Revolver</t>
        </is>
      </c>
      <c r="D57" s="13" t="n">
        <v>0</v>
      </c>
      <c r="E57" s="14">
        <f>E89</f>
        <v/>
      </c>
      <c r="F57" s="14">
        <f>F89</f>
        <v/>
      </c>
      <c r="G57" s="14">
        <f>G89</f>
        <v/>
      </c>
    </row>
    <row r="58">
      <c r="B58" s="6" t="inlineStr">
        <is>
          <t>Term loan</t>
        </is>
      </c>
      <c r="D58" s="13" t="n">
        <v>300</v>
      </c>
      <c r="E58" s="14">
        <f>E92</f>
        <v/>
      </c>
      <c r="F58" s="14">
        <f>F92</f>
        <v/>
      </c>
      <c r="G58" s="14">
        <f>G92</f>
        <v/>
      </c>
    </row>
    <row r="59">
      <c r="B59" s="6" t="inlineStr">
        <is>
          <t>Common stock</t>
        </is>
      </c>
      <c r="D59" s="13" t="n">
        <v>100</v>
      </c>
      <c r="E59" s="14">
        <f>D59</f>
        <v/>
      </c>
      <c r="F59" s="14">
        <f>E59</f>
        <v/>
      </c>
      <c r="G59" s="14">
        <f>F59</f>
        <v/>
      </c>
    </row>
    <row r="60">
      <c r="B60" s="6" t="inlineStr">
        <is>
          <t>Retained earnings</t>
        </is>
      </c>
      <c r="D60" s="13" t="n">
        <v>255</v>
      </c>
      <c r="E60" s="14">
        <f>D60+E33+E34</f>
        <v/>
      </c>
      <c r="F60" s="14">
        <f>E60+F33+F34</f>
        <v/>
      </c>
      <c r="G60" s="14">
        <f>F60+G33+G34</f>
        <v/>
      </c>
    </row>
    <row r="61">
      <c r="B61" s="15" t="inlineStr">
        <is>
          <t>Total liabilities and equity</t>
        </is>
      </c>
      <c r="D61" s="16">
        <f>SUM(D56:D60)</f>
        <v/>
      </c>
      <c r="E61" s="16">
        <f>SUM(E56:E60)</f>
        <v/>
      </c>
      <c r="F61" s="16">
        <f>SUM(F56:F60)</f>
        <v/>
      </c>
      <c r="G61" s="16">
        <f>SUM(G56:G60)</f>
        <v/>
      </c>
    </row>
    <row r="62">
      <c r="B62" s="21" t="inlineStr">
        <is>
          <t>Balance check (assets minus liabilities and equity)</t>
        </is>
      </c>
      <c r="D62" s="22">
        <f>D55-D61</f>
        <v/>
      </c>
      <c r="E62" s="22">
        <f>E55-E61</f>
        <v/>
      </c>
      <c r="F62" s="22">
        <f>F55-F61</f>
        <v/>
      </c>
      <c r="G62" s="22">
        <f>G55-G61</f>
        <v/>
      </c>
      <c r="I62" s="23" t="inlineStr">
        <is>
          <t>Grows by each year's D&amp;A: a missing link</t>
        </is>
      </c>
    </row>
    <row r="64">
      <c r="B64" s="4" t="inlineStr">
        <is>
          <t>Cash flow statement</t>
        </is>
      </c>
      <c r="C64" s="4" t="n"/>
      <c r="D64" s="5" t="inlineStr">
        <is>
          <t>2025A</t>
        </is>
      </c>
      <c r="E64" s="5" t="inlineStr">
        <is>
          <t>2026E</t>
        </is>
      </c>
      <c r="F64" s="5" t="inlineStr">
        <is>
          <t>2027E</t>
        </is>
      </c>
      <c r="G64" s="5" t="inlineStr">
        <is>
          <t>2028E</t>
        </is>
      </c>
    </row>
    <row r="65">
      <c r="B65" s="6" t="inlineStr">
        <is>
          <t>Net income</t>
        </is>
      </c>
      <c r="E65" s="14">
        <f>E33</f>
        <v/>
      </c>
      <c r="F65" s="14">
        <f>F33</f>
        <v/>
      </c>
      <c r="G65" s="14">
        <f>G33</f>
        <v/>
      </c>
    </row>
    <row r="66">
      <c r="B66" s="17" t="inlineStr">
        <is>
          <t>Plus: D&amp;A</t>
        </is>
      </c>
      <c r="E66" s="14">
        <f>-E27</f>
        <v/>
      </c>
      <c r="F66" s="14">
        <f>-F27</f>
        <v/>
      </c>
      <c r="G66" s="14">
        <f>-G27</f>
        <v/>
      </c>
    </row>
    <row r="67">
      <c r="B67" s="17" t="inlineStr">
        <is>
          <t>Less: increase in receivables</t>
        </is>
      </c>
      <c r="E67" s="14">
        <f>E46</f>
        <v/>
      </c>
      <c r="F67" s="14">
        <f>F46</f>
        <v/>
      </c>
      <c r="G67" s="14">
        <f>G46</f>
        <v/>
      </c>
    </row>
    <row r="68">
      <c r="B68" s="17" t="inlineStr">
        <is>
          <t>Less: increase in inventory</t>
        </is>
      </c>
      <c r="E68" s="14">
        <f>E47</f>
        <v/>
      </c>
      <c r="F68" s="14">
        <f>F47</f>
        <v/>
      </c>
      <c r="G68" s="14">
        <f>G47</f>
        <v/>
      </c>
    </row>
    <row r="69">
      <c r="B69" s="17" t="inlineStr">
        <is>
          <t>Plus: increase in payables</t>
        </is>
      </c>
      <c r="E69" s="14">
        <f>E48</f>
        <v/>
      </c>
      <c r="F69" s="14">
        <f>F48</f>
        <v/>
      </c>
      <c r="G69" s="14">
        <f>G48</f>
        <v/>
      </c>
    </row>
    <row r="70">
      <c r="B70" s="15" t="inlineStr">
        <is>
          <t>Cash from operations</t>
        </is>
      </c>
      <c r="E70" s="16">
        <f>SUM(E65:E69)</f>
        <v/>
      </c>
      <c r="F70" s="16">
        <f>SUM(F65:F69)</f>
        <v/>
      </c>
      <c r="G70" s="16">
        <f>SUM(G65:G69)</f>
        <v/>
      </c>
    </row>
    <row r="71">
      <c r="B71" s="17" t="inlineStr">
        <is>
          <t>Capex</t>
        </is>
      </c>
      <c r="E71" s="14">
        <f>-E38</f>
        <v/>
      </c>
      <c r="F71" s="14">
        <f>-F38</f>
        <v/>
      </c>
      <c r="G71" s="14">
        <f>-G38</f>
        <v/>
      </c>
    </row>
    <row r="72">
      <c r="B72" s="15" t="inlineStr">
        <is>
          <t>Cash from investing</t>
        </is>
      </c>
      <c r="E72" s="16">
        <f>SUM(E71:E71)</f>
        <v/>
      </c>
      <c r="F72" s="16">
        <f>SUM(F71:F71)</f>
        <v/>
      </c>
      <c r="G72" s="16">
        <f>SUM(G71:G71)</f>
        <v/>
      </c>
    </row>
    <row r="73">
      <c r="B73" s="17" t="inlineStr">
        <is>
          <t>Term loan amortization</t>
        </is>
      </c>
      <c r="E73" s="14">
        <f>-E17</f>
        <v/>
      </c>
      <c r="F73" s="14">
        <f>-F17</f>
        <v/>
      </c>
      <c r="G73" s="14">
        <f>-G17</f>
        <v/>
      </c>
    </row>
    <row r="74">
      <c r="B74" s="17" t="inlineStr">
        <is>
          <t>Revolver draw</t>
        </is>
      </c>
      <c r="E74" s="14">
        <f>E87</f>
        <v/>
      </c>
      <c r="F74" s="14">
        <f>F87</f>
        <v/>
      </c>
      <c r="G74" s="14">
        <f>G87</f>
        <v/>
      </c>
    </row>
    <row r="75">
      <c r="B75" s="17" t="inlineStr">
        <is>
          <t>Revolver repayment</t>
        </is>
      </c>
      <c r="E75" s="14">
        <f>-E88</f>
        <v/>
      </c>
      <c r="F75" s="14">
        <f>-F88</f>
        <v/>
      </c>
      <c r="G75" s="14">
        <f>-G88</f>
        <v/>
      </c>
    </row>
    <row r="76">
      <c r="B76" s="17" t="inlineStr">
        <is>
          <t>Dividends</t>
        </is>
      </c>
      <c r="E76" s="14">
        <f>E34</f>
        <v/>
      </c>
      <c r="F76" s="14">
        <f>F34</f>
        <v/>
      </c>
      <c r="G76" s="14">
        <f>G34</f>
        <v/>
      </c>
    </row>
    <row r="77">
      <c r="B77" s="15" t="inlineStr">
        <is>
          <t>Cash from financing</t>
        </is>
      </c>
      <c r="E77" s="16">
        <f>SUM(E73:E76)</f>
        <v/>
      </c>
      <c r="F77" s="16">
        <f>SUM(F73:F76)</f>
        <v/>
      </c>
      <c r="G77" s="16">
        <f>SUM(G73:G76)</f>
        <v/>
      </c>
    </row>
    <row r="78">
      <c r="B78" s="15" t="inlineStr">
        <is>
          <t>Net change in cash</t>
        </is>
      </c>
      <c r="E78" s="16">
        <f>E70+E72+E77</f>
        <v/>
      </c>
      <c r="F78" s="16">
        <f>F70+F72+F77</f>
        <v/>
      </c>
      <c r="G78" s="16">
        <f>G70+G72+G77</f>
        <v/>
      </c>
    </row>
    <row r="79">
      <c r="B79" s="6" t="inlineStr">
        <is>
          <t>Beginning cash</t>
        </is>
      </c>
      <c r="E79" s="14">
        <f>D51</f>
        <v/>
      </c>
      <c r="F79" s="14">
        <f>E51</f>
        <v/>
      </c>
      <c r="G79" s="14">
        <f>F51</f>
        <v/>
      </c>
    </row>
    <row r="80">
      <c r="B80" s="15" t="inlineStr">
        <is>
          <t>Ending cash</t>
        </is>
      </c>
      <c r="E80" s="16">
        <f>E79+E78</f>
        <v/>
      </c>
      <c r="F80" s="16">
        <f>F79+F78</f>
        <v/>
      </c>
      <c r="G80" s="16">
        <f>G79+G78</f>
        <v/>
      </c>
    </row>
    <row r="81">
      <c r="B81" s="6" t="inlineStr">
        <is>
          <t>Memo: cash before revolver</t>
        </is>
      </c>
      <c r="E81" s="14">
        <f>E79+E70+E72+E73+E76</f>
        <v/>
      </c>
      <c r="F81" s="14">
        <f>F79+F70+F72+F73+F76</f>
        <v/>
      </c>
      <c r="G81" s="14">
        <f>G79+G70+G72+G73+G76</f>
        <v/>
      </c>
    </row>
    <row r="83">
      <c r="B83" s="4" t="inlineStr">
        <is>
          <t>Debt and revolver</t>
        </is>
      </c>
      <c r="C83" s="4" t="n"/>
      <c r="D83" s="5" t="inlineStr">
        <is>
          <t>2025A</t>
        </is>
      </c>
      <c r="E83" s="5" t="inlineStr">
        <is>
          <t>2026E</t>
        </is>
      </c>
      <c r="F83" s="5" t="inlineStr">
        <is>
          <t>2027E</t>
        </is>
      </c>
      <c r="G83" s="5" t="inlineStr">
        <is>
          <t>2028E</t>
        </is>
      </c>
    </row>
    <row r="84">
      <c r="B84" s="6" t="inlineStr">
        <is>
          <t>Minimum cash</t>
        </is>
      </c>
      <c r="E84" s="14">
        <f>E19</f>
        <v/>
      </c>
      <c r="F84" s="14">
        <f>F19</f>
        <v/>
      </c>
      <c r="G84" s="14">
        <f>G19</f>
        <v/>
      </c>
    </row>
    <row r="85">
      <c r="B85" s="6" t="inlineStr">
        <is>
          <t>Cash before revolver</t>
        </is>
      </c>
      <c r="E85" s="14">
        <f>E81</f>
        <v/>
      </c>
      <c r="F85" s="14">
        <f>F81</f>
        <v/>
      </c>
      <c r="G85" s="14">
        <f>G81</f>
        <v/>
      </c>
    </row>
    <row r="86">
      <c r="B86" s="6" t="inlineStr">
        <is>
          <t>Beginning revolver</t>
        </is>
      </c>
      <c r="E86" s="14">
        <f>D89</f>
        <v/>
      </c>
      <c r="F86" s="14">
        <f>E89</f>
        <v/>
      </c>
      <c r="G86" s="14">
        <f>F89</f>
        <v/>
      </c>
    </row>
    <row r="87">
      <c r="B87" s="17" t="inlineStr">
        <is>
          <t>Revolver draw</t>
        </is>
      </c>
      <c r="E87" s="14">
        <f>MAX(0,E84-E85)</f>
        <v/>
      </c>
      <c r="F87" s="14">
        <f>MAX(0,F84-F85)</f>
        <v/>
      </c>
      <c r="G87" s="14">
        <f>MAX(0,G84-G85)</f>
        <v/>
      </c>
    </row>
    <row r="88">
      <c r="B88" s="17" t="inlineStr">
        <is>
          <t>Revolver repayment</t>
        </is>
      </c>
      <c r="E88" s="14">
        <f>MIN(E86,MAX(0,E85-E84))</f>
        <v/>
      </c>
      <c r="F88" s="14">
        <f>MIN(F86,MAX(0,F85-F84))</f>
        <v/>
      </c>
      <c r="G88" s="14">
        <f>MIN(G86,MAX(0,G85-G84))</f>
        <v/>
      </c>
    </row>
    <row r="89">
      <c r="B89" s="15" t="inlineStr">
        <is>
          <t>Ending revolver</t>
        </is>
      </c>
      <c r="D89" s="16">
        <f>D57</f>
        <v/>
      </c>
      <c r="E89" s="16">
        <f>E86+E87-E88</f>
        <v/>
      </c>
      <c r="F89" s="16">
        <f>F86+F87-F88</f>
        <v/>
      </c>
      <c r="G89" s="16">
        <f>G86+G87-G88</f>
        <v/>
      </c>
    </row>
    <row r="90">
      <c r="B90" s="6" t="inlineStr">
        <is>
          <t>Beginning term loan</t>
        </is>
      </c>
      <c r="E90" s="14">
        <f>D92</f>
        <v/>
      </c>
      <c r="F90" s="14">
        <f>E92</f>
        <v/>
      </c>
      <c r="G90" s="14">
        <f>F92</f>
        <v/>
      </c>
    </row>
    <row r="91">
      <c r="B91" s="17" t="inlineStr">
        <is>
          <t>Less: amortization</t>
        </is>
      </c>
      <c r="E91" s="14">
        <f>-E17</f>
        <v/>
      </c>
      <c r="F91" s="14">
        <f>-F17</f>
        <v/>
      </c>
      <c r="G91" s="14">
        <f>-G17</f>
        <v/>
      </c>
    </row>
    <row r="92">
      <c r="B92" s="15" t="inlineStr">
        <is>
          <t>Ending term loan</t>
        </is>
      </c>
      <c r="D92" s="16">
        <f>D58</f>
        <v/>
      </c>
      <c r="E92" s="16">
        <f>SUM(E90:E91)</f>
        <v/>
      </c>
      <c r="F92" s="16">
        <f>SUM(F90:F91)</f>
        <v/>
      </c>
      <c r="G92" s="16">
        <f>SUM(G90:G91)</f>
        <v/>
      </c>
    </row>
    <row r="93">
      <c r="B93" s="15" t="inlineStr">
        <is>
          <t>Total debt (revolver plus term loan)</t>
        </is>
      </c>
      <c r="D93" s="16">
        <f>D89+D92</f>
        <v/>
      </c>
      <c r="E93" s="16">
        <f>E89+E92</f>
        <v/>
      </c>
      <c r="F93" s="16">
        <f>F89+F92</f>
        <v/>
      </c>
      <c r="G93" s="16">
        <f>G89+G92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Wall Street Guide</dc:creator>
  <dcterms:created xmlns:dcterms="http://purl.org/dc/terms/" xmlns:xsi="http://www.w3.org/2001/XMLSchema-instance" xsi:type="dcterms:W3CDTF">2026-10-01T19:20:29Z</dcterms:created>
  <dcterms:modified xmlns:dcterms="http://purl.org/dc/terms/" xmlns:xsi="http://www.w3.org/2001/XMLSchema-instance" xsi:type="dcterms:W3CDTF">2026-10-01T19:20:29Z</dcterms:modified>
  <cp:lastModifiedBy>Wall Street Guide</cp:lastModifiedBy>
</cp:coreProperties>
</file>