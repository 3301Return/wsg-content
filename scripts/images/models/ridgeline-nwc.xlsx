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schedule" sheetId="1" state="visible" r:id="rId1"/>
    <sheet xmlns:r="http://schemas.openxmlformats.org/officeDocument/2006/relationships" name="Inventory walk" sheetId="2" state="visible" r:id="rId2"/>
    <sheet xmlns:r="http://schemas.openxmlformats.org/officeDocument/2006/relationships" name="Working capital pe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(#,##0.0);&quot;-&quot;"/>
    <numFmt numFmtId="165" formatCode="0.0%;(0.0%);&quot;-&quot;"/>
    <numFmt numFmtId="166" formatCode="0.0;(0.0);&quot;-&quot;"/>
    <numFmt numFmtId="167" formatCode="0;(0);&quot;-&quot;"/>
    <numFmt numFmtId="168" formatCode="#,##0.00;(#,##0.00);&quot;-&quot;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2"/>
    </font>
    <font>
      <name val="Arial"/>
      <i val="1"/>
      <color rgb="0052514E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i val="1"/>
      <color rgb="0052514E"/>
      <sz val="10"/>
    </font>
  </fonts>
  <fills count="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horizontal="right"/>
    </xf>
    <xf numFmtId="0" fontId="6" fillId="0" borderId="0" pivotButton="0" quotePrefix="0" xfId="0"/>
    <xf numFmtId="164" fontId="7" fillId="3" borderId="0" pivotButton="0" quotePrefix="0" xfId="0"/>
    <xf numFmtId="165" fontId="6" fillId="0" borderId="0" pivotButton="0" quotePrefix="0" xfId="0"/>
    <xf numFmtId="0" fontId="5" fillId="0" borderId="1" applyAlignment="1" pivotButton="0" quotePrefix="0" xfId="0">
      <alignment horizontal="right" wrapText="1"/>
    </xf>
    <xf numFmtId="0" fontId="6" fillId="0" borderId="0" applyAlignment="1" pivotButton="0" quotePrefix="0" xfId="0">
      <alignment indent="1"/>
    </xf>
    <xf numFmtId="164" fontId="6" fillId="0" borderId="0" pivotButton="0" quotePrefix="0" xfId="0"/>
    <xf numFmtId="0" fontId="8" fillId="0" borderId="2" pivotButton="0" quotePrefix="0" xfId="0"/>
    <xf numFmtId="164" fontId="8" fillId="0" borderId="2" pivotButton="0" quotePrefix="0" xfId="0"/>
    <xf numFmtId="0" fontId="5" fillId="0" borderId="1" applyAlignment="1" pivotButton="0" quotePrefix="0" xfId="0">
      <alignment horizontal="left"/>
    </xf>
    <xf numFmtId="166" fontId="6" fillId="0" borderId="0" pivotButton="0" quotePrefix="0" xfId="0"/>
    <xf numFmtId="167" fontId="7" fillId="3" borderId="0" pivotButton="0" quotePrefix="0" xfId="0"/>
    <xf numFmtId="0" fontId="9" fillId="0" borderId="0" applyAlignment="1" pivotButton="0" quotePrefix="0" xfId="0">
      <alignment horizontal="left"/>
    </xf>
    <xf numFmtId="166" fontId="8" fillId="0" borderId="2" pivotButton="0" quotePrefix="0" xfId="0"/>
    <xf numFmtId="167" fontId="8" fillId="0" borderId="2" pivotButton="0" quotePrefix="0" xfId="0"/>
    <xf numFmtId="165" fontId="7" fillId="3" borderId="0" pivotButton="0" quotePrefix="0" xfId="0"/>
    <xf numFmtId="168" fontId="7" fillId="3" borderId="0" pivotButton="0" quotePrefix="0" xfId="0"/>
    <xf numFmtId="168" fontId="6" fillId="0" borderId="0" pivotButton="0" quotePrefix="0" xfId="0"/>
    <xf numFmtId="168" fontId="8" fillId="0" borderId="2" pivotButton="0" quotePrefix="0" xfId="0"/>
    <xf numFmtId="2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2">
      <c r="B2" s="1" t="inlineStr">
        <is>
          <t>Ridgeline Outdoor Co., net working capital model</t>
        </is>
      </c>
    </row>
    <row r="3">
      <c r="B3" s="2" t="inlineStr">
        <is>
          <t>$ millions. Blue cells on yellow are inputs from the article; black cells are formulas.</t>
        </is>
      </c>
    </row>
    <row r="5">
      <c r="B5" s="3" t="inlineStr">
        <is>
          <t>Drivers</t>
        </is>
      </c>
      <c r="C5" s="3" t="n"/>
      <c r="D5" s="3" t="n"/>
      <c r="E5" s="3" t="n"/>
      <c r="F5" s="3" t="n"/>
      <c r="G5" s="3" t="n"/>
    </row>
    <row r="6">
      <c r="D6" s="4" t="inlineStr">
        <is>
          <t>Year 1A</t>
        </is>
      </c>
      <c r="E6" s="4" t="inlineStr">
        <is>
          <t>Year 2A</t>
        </is>
      </c>
      <c r="F6" s="4" t="inlineStr">
        <is>
          <t>Year 3P</t>
        </is>
      </c>
    </row>
    <row r="7">
      <c r="B7" s="5" t="inlineStr">
        <is>
          <t>Revenue</t>
        </is>
      </c>
      <c r="D7" s="6" t="n">
        <v>1000</v>
      </c>
      <c r="E7" s="6" t="n">
        <v>1050</v>
      </c>
      <c r="F7" s="6" t="n">
        <v>1100</v>
      </c>
    </row>
    <row r="8">
      <c r="B8" s="5" t="inlineStr">
        <is>
          <t>Cost of goods sold</t>
        </is>
      </c>
      <c r="D8" s="6" t="n">
        <v>600</v>
      </c>
      <c r="E8" s="6" t="n">
        <v>630</v>
      </c>
      <c r="F8" s="6" t="n">
        <v>660</v>
      </c>
    </row>
    <row r="9">
      <c r="B9" s="5" t="inlineStr">
        <is>
          <t>Revenue growth</t>
        </is>
      </c>
      <c r="E9" s="7">
        <f>E7/D7-1</f>
        <v/>
      </c>
      <c r="F9" s="7">
        <f>F7/E7-1</f>
        <v/>
      </c>
    </row>
    <row r="11">
      <c r="B11" s="3" t="inlineStr">
        <is>
          <t>Change in net working capital, Year 1 to Year 2</t>
        </is>
      </c>
      <c r="C11" s="3" t="n"/>
      <c r="D11" s="3" t="n"/>
      <c r="E11" s="3" t="n"/>
      <c r="F11" s="3" t="n"/>
      <c r="G11" s="3" t="n"/>
    </row>
    <row r="12">
      <c r="D12" s="8" t="inlineStr">
        <is>
          <t>Year 1</t>
        </is>
      </c>
      <c r="E12" s="8" t="inlineStr">
        <is>
          <t>Year 2</t>
        </is>
      </c>
      <c r="F12" s="8" t="inlineStr">
        <is>
          <t>Change</t>
        </is>
      </c>
      <c r="G12" s="8" t="inlineStr">
        <is>
          <t>Cash effect</t>
        </is>
      </c>
    </row>
    <row r="13">
      <c r="B13" s="9" t="inlineStr">
        <is>
          <t>Accounts receivable</t>
        </is>
      </c>
      <c r="D13" s="6" t="n">
        <v>80</v>
      </c>
      <c r="E13" s="6" t="n">
        <v>95</v>
      </c>
      <c r="F13" s="10">
        <f>E13-D13</f>
        <v/>
      </c>
      <c r="G13" s="10">
        <f>-F13</f>
        <v/>
      </c>
    </row>
    <row r="14">
      <c r="B14" s="9" t="inlineStr">
        <is>
          <t>Inventory</t>
        </is>
      </c>
      <c r="D14" s="6" t="n">
        <v>120</v>
      </c>
      <c r="E14" s="6" t="n">
        <v>130</v>
      </c>
      <c r="F14" s="10">
        <f>E14-D14</f>
        <v/>
      </c>
      <c r="G14" s="10">
        <f>-F14</f>
        <v/>
      </c>
    </row>
    <row r="15">
      <c r="B15" s="9" t="inlineStr">
        <is>
          <t>Prepaid expenses</t>
        </is>
      </c>
      <c r="D15" s="6" t="n">
        <v>10</v>
      </c>
      <c r="E15" s="6" t="n">
        <v>10</v>
      </c>
      <c r="F15" s="10">
        <f>E15-D15</f>
        <v/>
      </c>
      <c r="G15" s="10">
        <f>-F15</f>
        <v/>
      </c>
    </row>
    <row r="16">
      <c r="B16" s="11" t="inlineStr">
        <is>
          <t>Operating current assets</t>
        </is>
      </c>
      <c r="D16" s="12">
        <f>SUM(D13:D15)</f>
        <v/>
      </c>
      <c r="E16" s="12">
        <f>SUM(E13:E15)</f>
        <v/>
      </c>
      <c r="F16" s="12">
        <f>E16-D16</f>
        <v/>
      </c>
      <c r="G16" s="12">
        <f>-F16</f>
        <v/>
      </c>
    </row>
    <row r="17">
      <c r="B17" s="9" t="inlineStr">
        <is>
          <t>Accounts payable</t>
        </is>
      </c>
      <c r="D17" s="6" t="n">
        <v>70</v>
      </c>
      <c r="E17" s="6" t="n">
        <v>75</v>
      </c>
      <c r="F17" s="10">
        <f>E17-D17</f>
        <v/>
      </c>
      <c r="G17" s="10">
        <f>F17</f>
        <v/>
      </c>
    </row>
    <row r="18">
      <c r="B18" s="9" t="inlineStr">
        <is>
          <t>Accrued expenses</t>
        </is>
      </c>
      <c r="D18" s="6" t="n">
        <v>30</v>
      </c>
      <c r="E18" s="6" t="n">
        <v>30</v>
      </c>
      <c r="F18" s="10">
        <f>E18-D18</f>
        <v/>
      </c>
      <c r="G18" s="10">
        <f>F18</f>
        <v/>
      </c>
    </row>
    <row r="19">
      <c r="B19" s="9" t="inlineStr">
        <is>
          <t>Deferred revenue</t>
        </is>
      </c>
      <c r="D19" s="6" t="n">
        <v>20</v>
      </c>
      <c r="E19" s="6" t="n">
        <v>20</v>
      </c>
      <c r="F19" s="10">
        <f>E19-D19</f>
        <v/>
      </c>
      <c r="G19" s="10">
        <f>F19</f>
        <v/>
      </c>
    </row>
    <row r="20">
      <c r="B20" s="11" t="inlineStr">
        <is>
          <t>Operating current liabilities</t>
        </is>
      </c>
      <c r="D20" s="12">
        <f>SUM(D17:D19)</f>
        <v/>
      </c>
      <c r="E20" s="12">
        <f>SUM(E17:E19)</f>
        <v/>
      </c>
      <c r="F20" s="12">
        <f>E20-D20</f>
        <v/>
      </c>
      <c r="G20" s="12">
        <f>F20</f>
        <v/>
      </c>
    </row>
    <row r="21">
      <c r="B21" s="11" t="inlineStr">
        <is>
          <t>Net working capital</t>
        </is>
      </c>
      <c r="D21" s="12">
        <f>D16-D20</f>
        <v/>
      </c>
      <c r="E21" s="12">
        <f>E16-E20</f>
        <v/>
      </c>
      <c r="F21" s="12">
        <f>E21-D21</f>
        <v/>
      </c>
      <c r="G21" s="12">
        <f>-F21</f>
        <v/>
      </c>
    </row>
    <row r="22">
      <c r="B22" s="2" t="inlineStr">
        <is>
          <t>Parentheses mean cash going out: an asset going up uses cash, a liability going up frees it.</t>
        </is>
      </c>
    </row>
    <row r="24">
      <c r="B24" s="3" t="inlineStr">
        <is>
          <t>Cash conversion cycle, then the Year 3 projection from days</t>
        </is>
      </c>
      <c r="C24" s="3" t="n"/>
      <c r="D24" s="3" t="n"/>
      <c r="E24" s="3" t="n"/>
      <c r="F24" s="3" t="n"/>
      <c r="G24" s="3" t="n"/>
    </row>
    <row r="25">
      <c r="D25" s="8" t="inlineStr">
        <is>
          <t>Year 1A</t>
        </is>
      </c>
      <c r="E25" s="8" t="inlineStr">
        <is>
          <t>Year 2A</t>
        </is>
      </c>
      <c r="F25" s="8" t="inlineStr">
        <is>
          <t>Year 3P</t>
        </is>
      </c>
      <c r="G25" s="13" t="inlineStr">
        <is>
          <t>Formula (Year 2)</t>
        </is>
      </c>
    </row>
    <row r="26">
      <c r="B26" s="9" t="inlineStr">
        <is>
          <t>Days sales outstanding, DSO (receivables / revenue x 365)</t>
        </is>
      </c>
      <c r="D26" s="14">
        <f>D13/D7*365</f>
        <v/>
      </c>
      <c r="E26" s="14">
        <f>E13/E7*365</f>
        <v/>
      </c>
      <c r="F26" s="15" t="n">
        <v>33</v>
      </c>
      <c r="G26" s="16" t="inlineStr">
        <is>
          <t xml:space="preserve"> =E13/E7*365</t>
        </is>
      </c>
    </row>
    <row r="27">
      <c r="B27" s="9" t="inlineStr">
        <is>
          <t>Days inventory outstanding, DIO (inventory / COGS x 365)</t>
        </is>
      </c>
      <c r="D27" s="14">
        <f>D14/D8*365</f>
        <v/>
      </c>
      <c r="E27" s="14">
        <f>E14/E8*365</f>
        <v/>
      </c>
      <c r="F27" s="15" t="n">
        <v>75</v>
      </c>
      <c r="G27" s="16" t="inlineStr">
        <is>
          <t xml:space="preserve"> =E14/E8*365</t>
        </is>
      </c>
    </row>
    <row r="28">
      <c r="B28" s="9" t="inlineStr">
        <is>
          <t>Days payable outstanding, DPO (payables / COGS x 365)</t>
        </is>
      </c>
      <c r="D28" s="14">
        <f>D17/D8*365</f>
        <v/>
      </c>
      <c r="E28" s="14">
        <f>E17/E8*365</f>
        <v/>
      </c>
      <c r="F28" s="15" t="n">
        <v>44</v>
      </c>
      <c r="G28" s="16" t="inlineStr">
        <is>
          <t xml:space="preserve"> =E17/E8*365</t>
        </is>
      </c>
    </row>
    <row r="29">
      <c r="B29" s="11" t="inlineStr">
        <is>
          <t>Cash conversion cycle (DSO plus DIO less DPO)</t>
        </is>
      </c>
      <c r="D29" s="17">
        <f>D26+D27-D28</f>
        <v/>
      </c>
      <c r="E29" s="17">
        <f>E26+E27-E28</f>
        <v/>
      </c>
      <c r="F29" s="18">
        <f>F26+F27-F28</f>
        <v/>
      </c>
      <c r="G29" s="16" t="inlineStr">
        <is>
          <t xml:space="preserve"> =E26+E27-E28</t>
        </is>
      </c>
    </row>
    <row r="30">
      <c r="B30" s="9" t="inlineStr">
        <is>
          <t>Prepaid expenses, % of revenue</t>
        </is>
      </c>
      <c r="D30" s="7">
        <f>D15/D7</f>
        <v/>
      </c>
      <c r="E30" s="7">
        <f>E15/E7</f>
        <v/>
      </c>
      <c r="F30" s="7">
        <f>E30</f>
        <v/>
      </c>
      <c r="G30" s="16" t="inlineStr">
        <is>
          <t xml:space="preserve"> =E15/E7</t>
        </is>
      </c>
    </row>
    <row r="31">
      <c r="B31" s="9" t="inlineStr">
        <is>
          <t>Accrued expenses, % of revenue</t>
        </is>
      </c>
      <c r="D31" s="7">
        <f>D18/D7</f>
        <v/>
      </c>
      <c r="E31" s="7">
        <f>E18/E7</f>
        <v/>
      </c>
      <c r="F31" s="7">
        <f>E31</f>
        <v/>
      </c>
      <c r="G31" s="16" t="inlineStr">
        <is>
          <t xml:space="preserve"> =E18/E7</t>
        </is>
      </c>
    </row>
    <row r="32">
      <c r="B32" s="9" t="inlineStr">
        <is>
          <t>Deferred revenue, % of revenue</t>
        </is>
      </c>
      <c r="D32" s="7">
        <f>D19/D7</f>
        <v/>
      </c>
      <c r="E32" s="7">
        <f>E19/E7</f>
        <v/>
      </c>
      <c r="F32" s="7">
        <f>E32</f>
        <v/>
      </c>
      <c r="G32" s="16" t="inlineStr">
        <is>
          <t xml:space="preserve"> =E19/E7</t>
        </is>
      </c>
    </row>
    <row r="33">
      <c r="B33" s="2" t="inlineStr">
        <is>
          <t>Year 3 days are the Year 2 days rounded to whole days and held flat; the small items hold their Year 2 percent of revenue.</t>
        </is>
      </c>
    </row>
    <row r="34">
      <c r="D34" s="8" t="inlineStr">
        <is>
          <t>Year 1A</t>
        </is>
      </c>
      <c r="E34" s="8" t="inlineStr">
        <is>
          <t>Year 2A</t>
        </is>
      </c>
      <c r="F34" s="8" t="inlineStr">
        <is>
          <t>Year 3P</t>
        </is>
      </c>
      <c r="G34" s="13" t="inlineStr">
        <is>
          <t>Formula (Year 3)</t>
        </is>
      </c>
    </row>
    <row r="35">
      <c r="B35" s="9" t="inlineStr">
        <is>
          <t>Accounts receivable</t>
        </is>
      </c>
      <c r="D35" s="10">
        <f>D13</f>
        <v/>
      </c>
      <c r="E35" s="10">
        <f>E13</f>
        <v/>
      </c>
      <c r="F35" s="10">
        <f>F26/365*F7</f>
        <v/>
      </c>
      <c r="G35" s="16" t="inlineStr">
        <is>
          <t xml:space="preserve"> =F26/365*F7</t>
        </is>
      </c>
    </row>
    <row r="36">
      <c r="B36" s="9" t="inlineStr">
        <is>
          <t>Inventory</t>
        </is>
      </c>
      <c r="D36" s="10">
        <f>D14</f>
        <v/>
      </c>
      <c r="E36" s="10">
        <f>E14</f>
        <v/>
      </c>
      <c r="F36" s="10">
        <f>F27/365*F8</f>
        <v/>
      </c>
      <c r="G36" s="16" t="inlineStr">
        <is>
          <t xml:space="preserve"> =F27/365*F8</t>
        </is>
      </c>
    </row>
    <row r="37">
      <c r="B37" s="9" t="inlineStr">
        <is>
          <t>Prepaid expenses</t>
        </is>
      </c>
      <c r="D37" s="10">
        <f>D15</f>
        <v/>
      </c>
      <c r="E37" s="10">
        <f>E15</f>
        <v/>
      </c>
      <c r="F37" s="10">
        <f>F30*F7</f>
        <v/>
      </c>
      <c r="G37" s="16" t="inlineStr">
        <is>
          <t xml:space="preserve"> =F30*F7</t>
        </is>
      </c>
    </row>
    <row r="38">
      <c r="B38" s="9" t="inlineStr">
        <is>
          <t>Accounts payable</t>
        </is>
      </c>
      <c r="D38" s="10">
        <f>D17</f>
        <v/>
      </c>
      <c r="E38" s="10">
        <f>E17</f>
        <v/>
      </c>
      <c r="F38" s="10">
        <f>F28/365*F8</f>
        <v/>
      </c>
      <c r="G38" s="16" t="inlineStr">
        <is>
          <t xml:space="preserve"> =F28/365*F8</t>
        </is>
      </c>
    </row>
    <row r="39">
      <c r="B39" s="9" t="inlineStr">
        <is>
          <t>Accrued expenses</t>
        </is>
      </c>
      <c r="D39" s="10">
        <f>D18</f>
        <v/>
      </c>
      <c r="E39" s="10">
        <f>E18</f>
        <v/>
      </c>
      <c r="F39" s="10">
        <f>F31*F7</f>
        <v/>
      </c>
      <c r="G39" s="16" t="inlineStr">
        <is>
          <t xml:space="preserve"> =F31*F7</t>
        </is>
      </c>
    </row>
    <row r="40">
      <c r="B40" s="9" t="inlineStr">
        <is>
          <t>Deferred revenue</t>
        </is>
      </c>
      <c r="D40" s="10">
        <f>D19</f>
        <v/>
      </c>
      <c r="E40" s="10">
        <f>E19</f>
        <v/>
      </c>
      <c r="F40" s="10">
        <f>F32*F7</f>
        <v/>
      </c>
      <c r="G40" s="16" t="inlineStr">
        <is>
          <t xml:space="preserve"> =F32*F7</t>
        </is>
      </c>
    </row>
    <row r="41">
      <c r="B41" s="11" t="inlineStr">
        <is>
          <t>Net working capital</t>
        </is>
      </c>
      <c r="D41" s="12">
        <f>D35+D36+D37-D38-D39-D40</f>
        <v/>
      </c>
      <c r="E41" s="12">
        <f>E35+E36+E37-E38-E39-E40</f>
        <v/>
      </c>
      <c r="F41" s="12">
        <f>F35+F36+F37-F38-F39-F40</f>
        <v/>
      </c>
    </row>
    <row r="42">
      <c r="B42" s="11" t="inlineStr">
        <is>
          <t>Increase in net working capital (a use of cash)</t>
        </is>
      </c>
      <c r="E42" s="12">
        <f>E41-D41</f>
        <v/>
      </c>
      <c r="F42" s="12">
        <f>F41-E41</f>
        <v/>
      </c>
      <c r="G42" s="16" t="inlineStr">
        <is>
          <t xml:space="preserve"> =F41-E41</t>
        </is>
      </c>
    </row>
    <row r="44">
      <c r="B44" s="3" t="inlineStr">
        <is>
          <t>Year 2 cash flow: net income to cash from operations, EBIT to unlevered free cash flow</t>
        </is>
      </c>
      <c r="C44" s="3" t="n"/>
      <c r="D44" s="3" t="n"/>
      <c r="E44" s="3" t="n"/>
      <c r="F44" s="3" t="n"/>
      <c r="G44" s="3" t="n"/>
    </row>
    <row r="45">
      <c r="E45" s="8" t="inlineStr">
        <is>
          <t>Year 2</t>
        </is>
      </c>
    </row>
    <row r="46">
      <c r="B46" s="9" t="inlineStr">
        <is>
          <t>EBIT</t>
        </is>
      </c>
      <c r="E46" s="6" t="n">
        <v>100</v>
      </c>
    </row>
    <row r="47">
      <c r="B47" s="9" t="inlineStr">
        <is>
          <t>Depreciation and amortization (inside EBIT)</t>
        </is>
      </c>
      <c r="E47" s="6" t="n">
        <v>20</v>
      </c>
    </row>
    <row r="48">
      <c r="B48" s="9" t="inlineStr">
        <is>
          <t>Interest expense</t>
        </is>
      </c>
      <c r="E48" s="6" t="n">
        <v>20</v>
      </c>
    </row>
    <row r="49">
      <c r="B49" s="9" t="inlineStr">
        <is>
          <t>Tax rate</t>
        </is>
      </c>
      <c r="E49" s="19" t="n">
        <v>0.25</v>
      </c>
    </row>
    <row r="50">
      <c r="B50" s="9" t="inlineStr">
        <is>
          <t>Capital expenditures</t>
        </is>
      </c>
      <c r="E50" s="6" t="n">
        <v>25</v>
      </c>
    </row>
    <row r="52">
      <c r="B52" s="9" t="inlineStr">
        <is>
          <t>Pre-tax income</t>
        </is>
      </c>
      <c r="E52" s="10">
        <f>E46-E48</f>
        <v/>
      </c>
    </row>
    <row r="53">
      <c r="B53" s="9" t="inlineStr">
        <is>
          <t>Less: taxes</t>
        </is>
      </c>
      <c r="E53" s="10">
        <f>-E52*E49</f>
        <v/>
      </c>
    </row>
    <row r="54">
      <c r="B54" s="11" t="inlineStr">
        <is>
          <t>Net income</t>
        </is>
      </c>
      <c r="E54" s="12">
        <f>E52+E53</f>
        <v/>
      </c>
    </row>
    <row r="55">
      <c r="B55" s="9" t="inlineStr">
        <is>
          <t>Plus: depreciation and amortization</t>
        </is>
      </c>
      <c r="E55" s="10">
        <f>E47</f>
        <v/>
      </c>
    </row>
    <row r="56">
      <c r="B56" s="9" t="inlineStr">
        <is>
          <t>Less: increase in net working capital</t>
        </is>
      </c>
      <c r="E56" s="10">
        <f>-E42</f>
        <v/>
      </c>
    </row>
    <row r="57">
      <c r="B57" s="11" t="inlineStr">
        <is>
          <t>Cash flow from operations</t>
        </is>
      </c>
      <c r="E57" s="12">
        <f>SUM(E54:E56)</f>
        <v/>
      </c>
    </row>
    <row r="59">
      <c r="B59" s="9" t="inlineStr">
        <is>
          <t>EBIT</t>
        </is>
      </c>
      <c r="E59" s="10">
        <f>E46</f>
        <v/>
      </c>
    </row>
    <row r="60">
      <c r="B60" s="9" t="inlineStr">
        <is>
          <t>Less: taxes at 25 percent</t>
        </is>
      </c>
      <c r="E60" s="10">
        <f>-E59*E49</f>
        <v/>
      </c>
    </row>
    <row r="61">
      <c r="B61" s="11" t="inlineStr">
        <is>
          <t>Net operating profit after tax</t>
        </is>
      </c>
      <c r="E61" s="12">
        <f>E59+E60</f>
        <v/>
      </c>
    </row>
    <row r="62">
      <c r="B62" s="9" t="inlineStr">
        <is>
          <t>Plus: depreciation and amortization</t>
        </is>
      </c>
      <c r="E62" s="10">
        <f>E47</f>
        <v/>
      </c>
    </row>
    <row r="63">
      <c r="B63" s="9" t="inlineStr">
        <is>
          <t>Less: capital expenditures</t>
        </is>
      </c>
      <c r="E63" s="10">
        <f>-E50</f>
        <v/>
      </c>
    </row>
    <row r="64">
      <c r="B64" s="9" t="inlineStr">
        <is>
          <t>Less: increase in net working capital</t>
        </is>
      </c>
      <c r="E64" s="10">
        <f>-E42</f>
        <v/>
      </c>
    </row>
    <row r="65">
      <c r="B65" s="11" t="inlineStr">
        <is>
          <t>Unlevered free cash flow</t>
        </is>
      </c>
      <c r="E65" s="12">
        <f>SUM(E61:E64)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Inventory bought for cash, then sold: the three-statement walk</t>
        </is>
      </c>
    </row>
    <row r="3">
      <c r="B3" s="2" t="inlineStr">
        <is>
          <t>$. Blue cells are inputs; every other cell is a formula. Balance sheet lines are changes from the start.</t>
        </is>
      </c>
    </row>
    <row r="5">
      <c r="B5" s="3" t="inlineStr">
        <is>
          <t>Assumptions</t>
        </is>
      </c>
      <c r="C5" s="3" t="n"/>
      <c r="D5" s="3" t="n"/>
      <c r="E5" s="3" t="n"/>
      <c r="F5" s="3" t="n"/>
    </row>
    <row r="6">
      <c r="B6" s="9" t="inlineStr">
        <is>
          <t>Inventory bought for cash</t>
        </is>
      </c>
      <c r="D6" s="20" t="n">
        <v>10</v>
      </c>
    </row>
    <row r="7">
      <c r="B7" s="9" t="inlineStr">
        <is>
          <t>Sale price</t>
        </is>
      </c>
      <c r="D7" s="20" t="n">
        <v>15</v>
      </c>
    </row>
    <row r="8">
      <c r="B8" s="9" t="inlineStr">
        <is>
          <t>Tax rate</t>
        </is>
      </c>
      <c r="D8" s="19" t="n">
        <v>0.25</v>
      </c>
    </row>
    <row r="10">
      <c r="B10" s="3" t="inlineStr">
        <is>
          <t>Income statement</t>
        </is>
      </c>
      <c r="C10" s="3" t="n"/>
      <c r="D10" s="3" t="n"/>
      <c r="E10" s="3" t="n"/>
      <c r="F10" s="3" t="n"/>
    </row>
    <row r="11">
      <c r="D11" s="8" t="inlineStr">
        <is>
          <t>Step 1: buy it</t>
        </is>
      </c>
      <c r="E11" s="8" t="inlineStr">
        <is>
          <t>Step 2: sell it</t>
        </is>
      </c>
      <c r="F11" s="8" t="inlineStr">
        <is>
          <t>Both steps</t>
        </is>
      </c>
    </row>
    <row r="12">
      <c r="B12" s="9" t="inlineStr">
        <is>
          <t>Revenue</t>
        </is>
      </c>
      <c r="D12" s="21" t="n">
        <v>0</v>
      </c>
      <c r="E12" s="21">
        <f>D7</f>
        <v/>
      </c>
      <c r="F12" s="21">
        <f>D12+E12</f>
        <v/>
      </c>
    </row>
    <row r="13">
      <c r="B13" s="9" t="inlineStr">
        <is>
          <t>Cost of goods sold</t>
        </is>
      </c>
      <c r="D13" s="21" t="n">
        <v>0</v>
      </c>
      <c r="E13" s="21">
        <f>-D6</f>
        <v/>
      </c>
      <c r="F13" s="21">
        <f>D13+E13</f>
        <v/>
      </c>
    </row>
    <row r="14">
      <c r="B14" s="9" t="inlineStr">
        <is>
          <t>Pre-tax income</t>
        </is>
      </c>
      <c r="D14" s="21">
        <f>D12+D13</f>
        <v/>
      </c>
      <c r="E14" s="21">
        <f>E12+E13</f>
        <v/>
      </c>
      <c r="F14" s="21">
        <f>D14+E14</f>
        <v/>
      </c>
    </row>
    <row r="15">
      <c r="B15" s="9" t="inlineStr">
        <is>
          <t>Less: taxes</t>
        </is>
      </c>
      <c r="D15" s="21">
        <f>-D14*$D$8</f>
        <v/>
      </c>
      <c r="E15" s="21">
        <f>-E14*$D$8</f>
        <v/>
      </c>
      <c r="F15" s="21">
        <f>D15+E15</f>
        <v/>
      </c>
    </row>
    <row r="16">
      <c r="B16" s="11" t="inlineStr">
        <is>
          <t>Net income</t>
        </is>
      </c>
      <c r="D16" s="22">
        <f>D14+D15</f>
        <v/>
      </c>
      <c r="E16" s="22">
        <f>E14+E15</f>
        <v/>
      </c>
      <c r="F16" s="22">
        <f>D16+E16</f>
        <v/>
      </c>
    </row>
    <row r="18">
      <c r="B18" s="3" t="inlineStr">
        <is>
          <t>Cash flow statement</t>
        </is>
      </c>
      <c r="C18" s="3" t="n"/>
      <c r="D18" s="3" t="n"/>
      <c r="E18" s="3" t="n"/>
      <c r="F18" s="3" t="n"/>
    </row>
    <row r="19">
      <c r="B19" s="9" t="inlineStr">
        <is>
          <t>Net income</t>
        </is>
      </c>
      <c r="D19" s="21">
        <f>D16</f>
        <v/>
      </c>
      <c r="E19" s="21">
        <f>E16</f>
        <v/>
      </c>
      <c r="F19" s="21">
        <f>F16</f>
        <v/>
      </c>
    </row>
    <row r="20">
      <c r="B20" s="9" t="inlineStr">
        <is>
          <t>Less: increase in inventory (an asset going up uses cash)</t>
        </is>
      </c>
      <c r="D20" s="21">
        <f>-D26</f>
        <v/>
      </c>
      <c r="E20" s="21">
        <f>-E26</f>
        <v/>
      </c>
      <c r="F20" s="21">
        <f>-F26</f>
        <v/>
      </c>
    </row>
    <row r="21">
      <c r="B21" s="11" t="inlineStr">
        <is>
          <t>Cash from operations</t>
        </is>
      </c>
      <c r="D21" s="22">
        <f>D19+D20</f>
        <v/>
      </c>
      <c r="E21" s="22">
        <f>E19+E20</f>
        <v/>
      </c>
      <c r="F21" s="22">
        <f>F19+F20</f>
        <v/>
      </c>
    </row>
    <row r="22">
      <c r="B22" s="11" t="inlineStr">
        <is>
          <t>Net change in cash</t>
        </is>
      </c>
      <c r="D22" s="22">
        <f>D21</f>
        <v/>
      </c>
      <c r="E22" s="22">
        <f>E21</f>
        <v/>
      </c>
      <c r="F22" s="22">
        <f>F21</f>
        <v/>
      </c>
    </row>
    <row r="24">
      <c r="B24" s="3" t="inlineStr">
        <is>
          <t>Balance sheet (change from the starting position)</t>
        </is>
      </c>
      <c r="C24" s="3" t="n"/>
      <c r="D24" s="3" t="n"/>
      <c r="E24" s="3" t="n"/>
      <c r="F24" s="3" t="n"/>
    </row>
    <row r="25">
      <c r="B25" s="9" t="inlineStr">
        <is>
          <t>Cash</t>
        </is>
      </c>
      <c r="D25" s="21">
        <f>D22</f>
        <v/>
      </c>
      <c r="E25" s="21">
        <f>E22</f>
        <v/>
      </c>
      <c r="F25" s="21">
        <f>F22</f>
        <v/>
      </c>
    </row>
    <row r="26">
      <c r="B26" s="9" t="inlineStr">
        <is>
          <t>Inventory</t>
        </is>
      </c>
      <c r="D26" s="21">
        <f>D6</f>
        <v/>
      </c>
      <c r="E26" s="21">
        <f>-D6</f>
        <v/>
      </c>
      <c r="F26" s="21">
        <f>D26+E26</f>
        <v/>
      </c>
    </row>
    <row r="27">
      <c r="B27" s="11" t="inlineStr">
        <is>
          <t>Total assets</t>
        </is>
      </c>
      <c r="D27" s="22">
        <f>D25+D26</f>
        <v/>
      </c>
      <c r="E27" s="22">
        <f>E25+E26</f>
        <v/>
      </c>
      <c r="F27" s="22">
        <f>F25+F26</f>
        <v/>
      </c>
    </row>
    <row r="28">
      <c r="B28" s="9" t="inlineStr">
        <is>
          <t>Retained earnings (net income)</t>
        </is>
      </c>
      <c r="D28" s="21">
        <f>D16</f>
        <v/>
      </c>
      <c r="E28" s="21">
        <f>E16</f>
        <v/>
      </c>
      <c r="F28" s="21">
        <f>F16</f>
        <v/>
      </c>
    </row>
    <row r="29">
      <c r="B29" s="11" t="inlineStr">
        <is>
          <t>Total liabilities and equity</t>
        </is>
      </c>
      <c r="D29" s="22">
        <f>D28</f>
        <v/>
      </c>
      <c r="E29" s="22">
        <f>E28</f>
        <v/>
      </c>
      <c r="F29" s="22">
        <f>F28</f>
        <v/>
      </c>
    </row>
    <row r="30">
      <c r="B30" s="9" t="inlineStr">
        <is>
          <t>Balance check (assets less liabilities and equity)</t>
        </is>
      </c>
      <c r="D30" s="23">
        <f>D27-D29</f>
        <v/>
      </c>
      <c r="E30" s="23">
        <f>E27-E29</f>
        <v/>
      </c>
      <c r="F30" s="23">
        <f>F27-F29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" customWidth="1" min="3" max="3"/>
    <col width="14" customWidth="1" min="4" max="4"/>
    <col width="14" customWidth="1" min="5" max="5"/>
    <col width="14" customWidth="1" min="6" max="6"/>
    <col width="2" customWidth="1" min="7" max="7"/>
    <col width="20" customWidth="1" min="8" max="8"/>
  </cols>
  <sheetData>
    <row r="2">
      <c r="B2" s="1" t="inlineStr">
        <is>
          <t>Working capital peg: how closing net working capital moves the price</t>
        </is>
      </c>
    </row>
    <row r="3">
      <c r="B3" s="2" t="inlineStr">
        <is>
          <t>$ millions. Blue cells are inputs; the adjustment and final price are formulas.</t>
        </is>
      </c>
    </row>
    <row r="5">
      <c r="B5" s="3" t="inlineStr">
        <is>
          <t>Deal terms</t>
        </is>
      </c>
      <c r="C5" s="3" t="n"/>
      <c r="D5" s="3" t="n"/>
      <c r="E5" s="3" t="n"/>
      <c r="F5" s="3" t="n"/>
      <c r="G5" s="3" t="n"/>
      <c r="H5" s="3" t="n"/>
    </row>
    <row r="6">
      <c r="B6" s="9" t="inlineStr">
        <is>
          <t>Headline price (cash-free, debt-free)</t>
        </is>
      </c>
      <c r="D6" s="6" t="n">
        <v>500</v>
      </c>
    </row>
    <row r="7">
      <c r="B7" s="9" t="inlineStr">
        <is>
          <t>Working capital peg (trailing twelve-month average NWC)</t>
        </is>
      </c>
      <c r="D7" s="6" t="n">
        <v>50</v>
      </c>
    </row>
    <row r="9">
      <c r="B9" s="3" t="inlineStr">
        <is>
          <t>Closing adjustment, dollar for dollar against the peg</t>
        </is>
      </c>
      <c r="C9" s="3" t="n"/>
      <c r="D9" s="3" t="n"/>
      <c r="E9" s="3" t="n"/>
      <c r="F9" s="3" t="n"/>
      <c r="G9" s="3" t="n"/>
      <c r="H9" s="3" t="n"/>
    </row>
    <row r="10">
      <c r="D10" s="8" t="inlineStr">
        <is>
          <t>Closing NWC</t>
        </is>
      </c>
      <c r="E10" s="8" t="inlineStr">
        <is>
          <t>Versus peg</t>
        </is>
      </c>
      <c r="F10" s="8" t="inlineStr">
        <is>
          <t>Final price</t>
        </is>
      </c>
      <c r="H10" s="13" t="inlineStr">
        <is>
          <t>Formula (final price)</t>
        </is>
      </c>
    </row>
    <row r="11">
      <c r="B11" s="9" t="inlineStr">
        <is>
          <t>Seller delivers less working capital than normal</t>
        </is>
      </c>
      <c r="D11" s="6" t="n">
        <v>45</v>
      </c>
      <c r="E11" s="10">
        <f>D11-$D$7</f>
        <v/>
      </c>
      <c r="F11" s="10">
        <f>$D$6+E11</f>
        <v/>
      </c>
      <c r="H11" s="16" t="inlineStr">
        <is>
          <t xml:space="preserve"> =$D$6+E11</t>
        </is>
      </c>
    </row>
    <row r="12">
      <c r="B12" s="9" t="inlineStr">
        <is>
          <t>Seller delivers the peg</t>
        </is>
      </c>
      <c r="D12" s="6" t="n">
        <v>50</v>
      </c>
      <c r="E12" s="10">
        <f>D12-$D$7</f>
        <v/>
      </c>
      <c r="F12" s="10">
        <f>$D$6+E12</f>
        <v/>
      </c>
      <c r="H12" s="16" t="inlineStr">
        <is>
          <t xml:space="preserve"> =$D$6+E12</t>
        </is>
      </c>
    </row>
    <row r="13">
      <c r="B13" s="9" t="inlineStr">
        <is>
          <t>Seller delivers more working capital than normal</t>
        </is>
      </c>
      <c r="D13" s="6" t="n">
        <v>58</v>
      </c>
      <c r="E13" s="10">
        <f>D13-$D$7</f>
        <v/>
      </c>
      <c r="F13" s="10">
        <f>$D$6+E13</f>
        <v/>
      </c>
      <c r="H13" s="16" t="inlineStr">
        <is>
          <t xml:space="preserve"> =$D$6+E13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Wall Street Guide</dc:creator>
  <dcterms:created xmlns:dcterms="http://purl.org/dc/terms/" xmlns:xsi="http://www.w3.org/2001/XMLSchema-instance" xsi:type="dcterms:W3CDTF">2026-10-01T19:19:59Z</dcterms:created>
  <dcterms:modified xmlns:dcterms="http://purl.org/dc/terms/" xmlns:xsi="http://www.w3.org/2001/XMLSchema-instance" xsi:type="dcterms:W3CDTF">2026-10-01T19:19:59Z</dcterms:modified>
  <cp:lastModifiedBy>Wall Street Guide</cp:lastModifiedBy>
</cp:coreProperties>
</file>