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tern Bikes" sheetId="1" state="visible" r:id="rId1"/>
    <sheet xmlns:r="http://schemas.openxmlformats.org/officeDocument/2006/relationships" name="Depreciation walk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0"/>
    <numFmt numFmtId="165" formatCode="#,##0.0;(#,##0.0);0.0"/>
  </numFmts>
  <fonts count="12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2514E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8A8984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applyAlignment="1" pivotButton="0" quotePrefix="0" xfId="0">
      <alignment indent="1"/>
    </xf>
    <xf numFmtId="164" fontId="6" fillId="3" borderId="0" pivotButton="0" quotePrefix="0" xfId="0"/>
    <xf numFmtId="9" fontId="6" fillId="3" borderId="0" pivotButton="0" quotePrefix="0" xfId="0"/>
    <xf numFmtId="0" fontId="4" fillId="2" borderId="0" applyAlignment="1" pivotButton="0" quotePrefix="0" xfId="0">
      <alignment horizontal="left" indent="1"/>
    </xf>
    <xf numFmtId="164" fontId="5" fillId="0" borderId="0" pivotButton="0" quotePrefix="0" xfId="0"/>
    <xf numFmtId="0" fontId="7" fillId="0" borderId="0" applyAlignment="1" pivotButton="0" quotePrefix="0" xfId="0">
      <alignment horizontal="left" indent="1"/>
    </xf>
    <xf numFmtId="0" fontId="8" fillId="0" borderId="0" pivotButton="0" quotePrefix="0" xfId="0"/>
    <xf numFmtId="164" fontId="8" fillId="0" borderId="1" pivotButton="0" quotePrefix="0" xfId="0"/>
    <xf numFmtId="0" fontId="8" fillId="4" borderId="0" pivotButton="0" quotePrefix="0" xfId="0"/>
    <xf numFmtId="164" fontId="5" fillId="4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left" indent="1"/>
    </xf>
    <xf numFmtId="165" fontId="6" fillId="3" borderId="0" pivotButton="0" quotePrefix="0" xfId="0"/>
    <xf numFmtId="165" fontId="5" fillId="0" borderId="0" pivotButton="0" quotePrefix="0" xfId="0"/>
    <xf numFmtId="165" fontId="8" fillId="0" borderId="1" pivotButton="0" quotePrefix="0" xfId="0"/>
    <xf numFmtId="0" fontId="5" fillId="4" borderId="0" applyAlignment="1" pivotButton="0" quotePrefix="0" xfId="0">
      <alignment indent="1"/>
    </xf>
    <xf numFmtId="165" fontId="5" fillId="4" borderId="0" pivotButton="0" quotePrefix="0" xfId="0"/>
    <xf numFmtId="0" fontId="9" fillId="0" borderId="0" applyAlignment="1" pivotButton="0" quotePrefix="0" xfId="0">
      <alignment indent="1"/>
    </xf>
    <xf numFmtId="0" fontId="10" fillId="0" borderId="0" applyAlignment="1" pivotButton="0" quotePrefix="0" xfId="0">
      <alignment horizontal="right"/>
    </xf>
    <xf numFmtId="0" fontId="8" fillId="4" borderId="0" applyAlignment="1" pivotButton="0" quotePrefix="0" xfId="0">
      <alignment indent="1"/>
    </xf>
    <xf numFmtId="9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" customWidth="1" min="3" max="3"/>
    <col width="10" customWidth="1" min="4" max="4"/>
    <col width="10" customWidth="1" min="5" max="5"/>
    <col width="10" customWidth="1" min="6" max="6"/>
    <col width="48" customWidth="1" min="7" max="7"/>
    <col width="2" customWidth="1" min="8" max="8"/>
    <col width="24" customWidth="1" min="9" max="9"/>
  </cols>
  <sheetData>
    <row r="1">
      <c r="B1" s="1" t="inlineStr">
        <is>
          <t>Lantern Bikes Co. (fictional), Year 1 to Year 2</t>
        </is>
      </c>
    </row>
    <row r="2">
      <c r="B2" s="2" t="inlineStr">
        <is>
          <t>$ millions. Blue cells on yellow are the article's inputs; every other number is a formula. Parentheses mean a negative number.</t>
        </is>
      </c>
    </row>
    <row r="4">
      <c r="B4" s="3" t="inlineStr">
        <is>
          <t>Year 2 drivers</t>
        </is>
      </c>
      <c r="C4" s="3" t="n"/>
      <c r="D4" s="3" t="n"/>
      <c r="E4" s="4" t="inlineStr">
        <is>
          <t>Year 2</t>
        </is>
      </c>
      <c r="F4" s="3" t="n"/>
      <c r="G4" s="3" t="n"/>
    </row>
    <row r="5">
      <c r="B5" s="5" t="inlineStr">
        <is>
          <t>Revenue</t>
        </is>
      </c>
      <c r="E5" s="6" t="n">
        <v>500</v>
      </c>
    </row>
    <row r="6">
      <c r="B6" s="5" t="inlineStr">
        <is>
          <t>Cost of goods sold</t>
        </is>
      </c>
      <c r="E6" s="6" t="n">
        <v>300</v>
      </c>
    </row>
    <row r="7">
      <c r="B7" s="5" t="inlineStr">
        <is>
          <t>SG&amp;A</t>
        </is>
      </c>
      <c r="E7" s="6" t="n">
        <v>100</v>
      </c>
    </row>
    <row r="8">
      <c r="B8" s="5" t="inlineStr">
        <is>
          <t>Depreciation and amortization</t>
        </is>
      </c>
      <c r="E8" s="6" t="n">
        <v>30</v>
      </c>
    </row>
    <row r="9">
      <c r="B9" s="5" t="inlineStr">
        <is>
          <t>Interest rate on beginning debt</t>
        </is>
      </c>
      <c r="E9" s="7" t="n">
        <v>0.05</v>
      </c>
    </row>
    <row r="10">
      <c r="B10" s="5" t="inlineStr">
        <is>
          <t>Tax rate</t>
        </is>
      </c>
      <c r="E10" s="7" t="n">
        <v>0.25</v>
      </c>
    </row>
    <row r="11">
      <c r="B11" s="5" t="inlineStr">
        <is>
          <t>Capital expenditures</t>
        </is>
      </c>
      <c r="E11" s="6" t="n">
        <v>40</v>
      </c>
    </row>
    <row r="12">
      <c r="B12" s="5" t="inlineStr">
        <is>
          <t>Increase in accounts receivable</t>
        </is>
      </c>
      <c r="E12" s="6" t="n">
        <v>10</v>
      </c>
    </row>
    <row r="13">
      <c r="B13" s="5" t="inlineStr">
        <is>
          <t>Increase in inventory</t>
        </is>
      </c>
      <c r="E13" s="6" t="n">
        <v>5</v>
      </c>
    </row>
    <row r="14">
      <c r="B14" s="5" t="inlineStr">
        <is>
          <t>Increase in accounts payable</t>
        </is>
      </c>
      <c r="E14" s="6" t="n">
        <v>6</v>
      </c>
    </row>
    <row r="15">
      <c r="B15" s="5" t="inlineStr">
        <is>
          <t>Increase in accrued expenses</t>
        </is>
      </c>
      <c r="E15" s="6" t="n">
        <v>2</v>
      </c>
    </row>
    <row r="16">
      <c r="B16" s="5" t="inlineStr">
        <is>
          <t>Debt repaid</t>
        </is>
      </c>
      <c r="E16" s="6" t="n">
        <v>20</v>
      </c>
    </row>
    <row r="17">
      <c r="B17" s="5" t="inlineStr">
        <is>
          <t>Dividends paid</t>
        </is>
      </c>
      <c r="E17" s="6" t="n">
        <v>12</v>
      </c>
    </row>
    <row r="19">
      <c r="B19" s="3" t="inlineStr">
        <is>
          <t>Income statement</t>
        </is>
      </c>
      <c r="C19" s="3" t="n"/>
      <c r="D19" s="3" t="n"/>
      <c r="E19" s="4" t="inlineStr">
        <is>
          <t>Year 2</t>
        </is>
      </c>
      <c r="F19" s="3" t="n"/>
      <c r="G19" s="8" t="inlineStr">
        <is>
          <t>Where it goes</t>
        </is>
      </c>
      <c r="H19" s="3" t="n"/>
      <c r="I19" s="8" t="inlineStr">
        <is>
          <t>Formula (Year 2)</t>
        </is>
      </c>
    </row>
    <row r="20">
      <c r="B20" s="5" t="inlineStr">
        <is>
          <t>Revenue</t>
        </is>
      </c>
      <c r="E20" s="9">
        <f>E5</f>
        <v/>
      </c>
      <c r="I20" s="10" t="inlineStr">
        <is>
          <t>=E5</t>
        </is>
      </c>
    </row>
    <row r="21">
      <c r="B21" s="5" t="inlineStr">
        <is>
          <t>Cost of goods sold</t>
        </is>
      </c>
      <c r="E21" s="9">
        <f>-E6</f>
        <v/>
      </c>
      <c r="I21" s="10" t="inlineStr">
        <is>
          <t>=-E6</t>
        </is>
      </c>
    </row>
    <row r="22">
      <c r="B22" s="11" t="inlineStr">
        <is>
          <t>Gross profit</t>
        </is>
      </c>
      <c r="E22" s="12">
        <f>E20+E21</f>
        <v/>
      </c>
      <c r="I22" s="10" t="inlineStr">
        <is>
          <t>=E20+E21</t>
        </is>
      </c>
    </row>
    <row r="23">
      <c r="B23" s="5" t="inlineStr">
        <is>
          <t>SG&amp;A</t>
        </is>
      </c>
      <c r="E23" s="9">
        <f>-E7</f>
        <v/>
      </c>
      <c r="I23" s="10" t="inlineStr">
        <is>
          <t>=-E7</t>
        </is>
      </c>
    </row>
    <row r="24">
      <c r="B24" s="5" t="inlineStr">
        <is>
          <t>Depreciation and amortization</t>
        </is>
      </c>
      <c r="E24" s="9">
        <f>-E8</f>
        <v/>
      </c>
      <c r="G24" s="10" t="inlineStr">
        <is>
          <t>Link 2: added back on the CFS, reduces PP&amp;E</t>
        </is>
      </c>
      <c r="I24" s="10" t="inlineStr">
        <is>
          <t>=-E8</t>
        </is>
      </c>
    </row>
    <row r="25">
      <c r="B25" s="11" t="inlineStr">
        <is>
          <t>EBIT (operating profit)</t>
        </is>
      </c>
      <c r="E25" s="12">
        <f>SUM(E22:E24)</f>
        <v/>
      </c>
      <c r="I25" s="10" t="inlineStr">
        <is>
          <t>=SUM(E22:E24)</t>
        </is>
      </c>
    </row>
    <row r="26">
      <c r="B26" s="5" t="inlineStr">
        <is>
          <t>Interest expense (5% on beginning debt of 200)</t>
        </is>
      </c>
      <c r="E26" s="9">
        <f>-E9*D56</f>
        <v/>
      </c>
      <c r="G26" s="10" t="inlineStr">
        <is>
          <t>Computed off the Year 1 debt balance</t>
        </is>
      </c>
      <c r="I26" s="10" t="inlineStr">
        <is>
          <t>=-E9*D56</t>
        </is>
      </c>
    </row>
    <row r="27">
      <c r="B27" s="11" t="inlineStr">
        <is>
          <t>Pre-tax income</t>
        </is>
      </c>
      <c r="E27" s="12">
        <f>E25+E26</f>
        <v/>
      </c>
      <c r="I27" s="10" t="inlineStr">
        <is>
          <t>=E25+E26</t>
        </is>
      </c>
    </row>
    <row r="28">
      <c r="B28" s="5" t="inlineStr">
        <is>
          <t>Taxes (25%)</t>
        </is>
      </c>
      <c r="E28" s="9">
        <f>-E27*E10</f>
        <v/>
      </c>
      <c r="I28" s="10" t="inlineStr">
        <is>
          <t>=-E27*E10</t>
        </is>
      </c>
    </row>
    <row r="29">
      <c r="B29" s="11" t="inlineStr">
        <is>
          <t>Net income</t>
        </is>
      </c>
      <c r="E29" s="12">
        <f>E27+E28</f>
        <v/>
      </c>
      <c r="G29" s="10" t="inlineStr">
        <is>
          <t>Link 1: top of the CFS and into retained earnings</t>
        </is>
      </c>
      <c r="I29" s="10" t="inlineStr">
        <is>
          <t>=E27+E28</t>
        </is>
      </c>
    </row>
    <row r="31">
      <c r="B31" s="3" t="inlineStr">
        <is>
          <t>Cash flow statement</t>
        </is>
      </c>
      <c r="C31" s="3" t="n"/>
      <c r="D31" s="3" t="n"/>
      <c r="E31" s="4" t="inlineStr">
        <is>
          <t>Year 2</t>
        </is>
      </c>
      <c r="F31" s="3" t="n"/>
      <c r="G31" s="8" t="inlineStr">
        <is>
          <t>Where it comes from or goes</t>
        </is>
      </c>
      <c r="H31" s="3" t="n"/>
      <c r="I31" s="8" t="inlineStr">
        <is>
          <t>Formula (Year 2)</t>
        </is>
      </c>
    </row>
    <row r="32">
      <c r="B32" s="5" t="inlineStr">
        <is>
          <t>Net income</t>
        </is>
      </c>
      <c r="E32" s="9">
        <f>E29</f>
        <v/>
      </c>
      <c r="G32" s="10" t="inlineStr">
        <is>
          <t>Link 1: from the income statement</t>
        </is>
      </c>
      <c r="I32" s="10" t="inlineStr">
        <is>
          <t>=E29</t>
        </is>
      </c>
    </row>
    <row r="33">
      <c r="B33" s="5" t="inlineStr">
        <is>
          <t>Plus: depreciation and amortization</t>
        </is>
      </c>
      <c r="E33" s="9">
        <f>-E24</f>
        <v/>
      </c>
      <c r="G33" s="10" t="inlineStr">
        <is>
          <t>Link 2: non-cash, added back</t>
        </is>
      </c>
      <c r="I33" s="10" t="inlineStr">
        <is>
          <t>=-E24</t>
        </is>
      </c>
    </row>
    <row r="34">
      <c r="B34" s="5" t="inlineStr">
        <is>
          <t>Less: increase in accounts receivable</t>
        </is>
      </c>
      <c r="E34" s="9">
        <f>-(E50-D50)</f>
        <v/>
      </c>
      <c r="G34" s="10" t="inlineStr">
        <is>
          <t>Link 4: balance sheet AR 60 to 70</t>
        </is>
      </c>
      <c r="I34" s="10" t="inlineStr">
        <is>
          <t>=-(E50-D50)</t>
        </is>
      </c>
    </row>
    <row r="35">
      <c r="B35" s="5" t="inlineStr">
        <is>
          <t>Less: increase in inventory</t>
        </is>
      </c>
      <c r="E35" s="9">
        <f>-(E51-D51)</f>
        <v/>
      </c>
      <c r="G35" s="10" t="inlineStr">
        <is>
          <t>Link 4: inventory 80 to 85</t>
        </is>
      </c>
      <c r="I35" s="10" t="inlineStr">
        <is>
          <t>=-(E51-D51)</t>
        </is>
      </c>
    </row>
    <row r="36">
      <c r="B36" s="5" t="inlineStr">
        <is>
          <t>Plus: increase in accounts payable</t>
        </is>
      </c>
      <c r="E36" s="9">
        <f>E54-D54</f>
        <v/>
      </c>
      <c r="G36" s="10" t="inlineStr">
        <is>
          <t>Link 4: payables 50 to 56</t>
        </is>
      </c>
      <c r="I36" s="10" t="inlineStr">
        <is>
          <t>=E54-D54</t>
        </is>
      </c>
    </row>
    <row r="37">
      <c r="B37" s="5" t="inlineStr">
        <is>
          <t>Plus: increase in accrued expenses</t>
        </is>
      </c>
      <c r="E37" s="9">
        <f>E55-D55</f>
        <v/>
      </c>
      <c r="G37" s="10" t="inlineStr">
        <is>
          <t>Link 4: accrued 20 to 22</t>
        </is>
      </c>
      <c r="I37" s="10" t="inlineStr">
        <is>
          <t>=E55-D55</t>
        </is>
      </c>
    </row>
    <row r="38">
      <c r="B38" s="11" t="inlineStr">
        <is>
          <t>Cash from operations</t>
        </is>
      </c>
      <c r="E38" s="12">
        <f>SUM(E32:E37)</f>
        <v/>
      </c>
      <c r="I38" s="10" t="inlineStr">
        <is>
          <t>=SUM(E32:E37)</t>
        </is>
      </c>
    </row>
    <row r="39">
      <c r="B39" s="5" t="inlineStr">
        <is>
          <t>Capital expenditures</t>
        </is>
      </c>
      <c r="E39" s="9">
        <f>-E11</f>
        <v/>
      </c>
      <c r="G39" s="10" t="inlineStr">
        <is>
          <t>Link 3: raises PP&amp;E</t>
        </is>
      </c>
      <c r="I39" s="10" t="inlineStr">
        <is>
          <t>=-E11</t>
        </is>
      </c>
    </row>
    <row r="40">
      <c r="B40" s="11" t="inlineStr">
        <is>
          <t>Cash from investing</t>
        </is>
      </c>
      <c r="E40" s="12">
        <f>E39</f>
        <v/>
      </c>
      <c r="I40" s="10" t="inlineStr">
        <is>
          <t>=E39</t>
        </is>
      </c>
    </row>
    <row r="41">
      <c r="B41" s="5" t="inlineStr">
        <is>
          <t>Debt repaid</t>
        </is>
      </c>
      <c r="E41" s="9">
        <f>E56-D56</f>
        <v/>
      </c>
      <c r="G41" s="10" t="inlineStr">
        <is>
          <t>Link 5: debt 200 to 180</t>
        </is>
      </c>
      <c r="I41" s="10" t="inlineStr">
        <is>
          <t>=E56-D56</t>
        </is>
      </c>
    </row>
    <row r="42">
      <c r="B42" s="5" t="inlineStr">
        <is>
          <t>Dividends paid</t>
        </is>
      </c>
      <c r="E42" s="9">
        <f>-E17</f>
        <v/>
      </c>
      <c r="G42" s="10" t="inlineStr">
        <is>
          <t>Reduces retained earnings</t>
        </is>
      </c>
      <c r="I42" s="10" t="inlineStr">
        <is>
          <t>=-E17</t>
        </is>
      </c>
    </row>
    <row r="43">
      <c r="B43" s="11" t="inlineStr">
        <is>
          <t>Cash from financing</t>
        </is>
      </c>
      <c r="E43" s="12">
        <f>E41+E42</f>
        <v/>
      </c>
      <c r="I43" s="10" t="inlineStr">
        <is>
          <t>=E41+E42</t>
        </is>
      </c>
    </row>
    <row r="44">
      <c r="B44" s="11" t="inlineStr">
        <is>
          <t>Net change in cash</t>
        </is>
      </c>
      <c r="E44" s="12">
        <f>E38+E40+E43</f>
        <v/>
      </c>
      <c r="I44" s="10" t="inlineStr">
        <is>
          <t>=E38+E40+E43</t>
        </is>
      </c>
    </row>
    <row r="45">
      <c r="B45" s="5" t="inlineStr">
        <is>
          <t>Beginning cash</t>
        </is>
      </c>
      <c r="E45" s="9">
        <f>D49</f>
        <v/>
      </c>
      <c r="G45" s="10" t="inlineStr">
        <is>
          <t>Year 1 balance sheet</t>
        </is>
      </c>
      <c r="I45" s="10" t="inlineStr">
        <is>
          <t>=D49</t>
        </is>
      </c>
    </row>
    <row r="46">
      <c r="B46" s="11" t="inlineStr">
        <is>
          <t>Ending cash</t>
        </is>
      </c>
      <c r="E46" s="12">
        <f>E45+E44</f>
        <v/>
      </c>
      <c r="G46" s="10" t="inlineStr">
        <is>
          <t>Link 6: becomes cash on the Year 2 balance sheet</t>
        </is>
      </c>
      <c r="I46" s="10" t="inlineStr">
        <is>
          <t>=E45+E44</t>
        </is>
      </c>
    </row>
    <row r="48">
      <c r="B48" s="3" t="inlineStr">
        <is>
          <t>Balance sheet</t>
        </is>
      </c>
      <c r="C48" s="3" t="n"/>
      <c r="D48" s="4" t="inlineStr">
        <is>
          <t>Year 1</t>
        </is>
      </c>
      <c r="E48" s="4" t="inlineStr">
        <is>
          <t>Year 2</t>
        </is>
      </c>
      <c r="F48" s="4" t="inlineStr">
        <is>
          <t>Change</t>
        </is>
      </c>
      <c r="G48" s="8" t="inlineStr">
        <is>
          <t>Why</t>
        </is>
      </c>
      <c r="H48" s="3" t="n"/>
      <c r="I48" s="8" t="inlineStr">
        <is>
          <t>Formula (Year 2)</t>
        </is>
      </c>
    </row>
    <row r="49">
      <c r="B49" s="5" t="inlineStr">
        <is>
          <t>Cash</t>
        </is>
      </c>
      <c r="D49" s="6" t="n">
        <v>40</v>
      </c>
      <c r="E49" s="9">
        <f>E46</f>
        <v/>
      </c>
      <c r="F49" s="9">
        <f>E49-D49</f>
        <v/>
      </c>
      <c r="G49" s="10" t="inlineStr">
        <is>
          <t>Link 6: ending cash from the CFS</t>
        </is>
      </c>
      <c r="I49" s="10" t="inlineStr">
        <is>
          <t>=E46</t>
        </is>
      </c>
    </row>
    <row r="50">
      <c r="B50" s="5" t="inlineStr">
        <is>
          <t>Accounts receivable</t>
        </is>
      </c>
      <c r="D50" s="6" t="n">
        <v>60</v>
      </c>
      <c r="E50" s="9">
        <f>D50+E12</f>
        <v/>
      </c>
      <c r="F50" s="9">
        <f>E50-D50</f>
        <v/>
      </c>
      <c r="G50" s="10" t="inlineStr">
        <is>
          <t>Link 4</t>
        </is>
      </c>
      <c r="I50" s="10" t="inlineStr">
        <is>
          <t>=D50+E12</t>
        </is>
      </c>
    </row>
    <row r="51">
      <c r="B51" s="5" t="inlineStr">
        <is>
          <t>Inventory</t>
        </is>
      </c>
      <c r="D51" s="6" t="n">
        <v>80</v>
      </c>
      <c r="E51" s="9">
        <f>D51+E13</f>
        <v/>
      </c>
      <c r="F51" s="9">
        <f>E51-D51</f>
        <v/>
      </c>
      <c r="G51" s="10" t="inlineStr">
        <is>
          <t>Link 4</t>
        </is>
      </c>
      <c r="I51" s="10" t="inlineStr">
        <is>
          <t>=D51+E13</t>
        </is>
      </c>
    </row>
    <row r="52">
      <c r="B52" s="5" t="inlineStr">
        <is>
          <t>Net PP&amp;E</t>
        </is>
      </c>
      <c r="D52" s="6" t="n">
        <v>300</v>
      </c>
      <c r="E52" s="9">
        <f>D52+E11-E8</f>
        <v/>
      </c>
      <c r="F52" s="9">
        <f>E52-D52</f>
        <v/>
      </c>
      <c r="G52" s="10" t="inlineStr">
        <is>
          <t>Links 2 and 3: plus capex 40, minus D&amp;A 30</t>
        </is>
      </c>
      <c r="I52" s="10" t="inlineStr">
        <is>
          <t>=D52+E11-E8</t>
        </is>
      </c>
    </row>
    <row r="53">
      <c r="B53" s="11" t="inlineStr">
        <is>
          <t>Total assets</t>
        </is>
      </c>
      <c r="D53" s="12">
        <f>SUM(D49:D52)</f>
        <v/>
      </c>
      <c r="E53" s="12">
        <f>SUM(E49:E52)</f>
        <v/>
      </c>
      <c r="F53" s="12">
        <f>E53-D53</f>
        <v/>
      </c>
      <c r="I53" s="10" t="inlineStr">
        <is>
          <t>=SUM(E49:E52)</t>
        </is>
      </c>
    </row>
    <row r="54">
      <c r="B54" s="5" t="inlineStr">
        <is>
          <t>Accounts payable</t>
        </is>
      </c>
      <c r="D54" s="6" t="n">
        <v>50</v>
      </c>
      <c r="E54" s="9">
        <f>D54+E14</f>
        <v/>
      </c>
      <c r="F54" s="9">
        <f>E54-D54</f>
        <v/>
      </c>
      <c r="G54" s="10" t="inlineStr">
        <is>
          <t>Link 4</t>
        </is>
      </c>
      <c r="I54" s="10" t="inlineStr">
        <is>
          <t>=D54+E14</t>
        </is>
      </c>
    </row>
    <row r="55">
      <c r="B55" s="5" t="inlineStr">
        <is>
          <t>Accrued expenses</t>
        </is>
      </c>
      <c r="D55" s="6" t="n">
        <v>20</v>
      </c>
      <c r="E55" s="9">
        <f>D55+E15</f>
        <v/>
      </c>
      <c r="F55" s="9">
        <f>E55-D55</f>
        <v/>
      </c>
      <c r="G55" s="10" t="inlineStr">
        <is>
          <t>Link 4</t>
        </is>
      </c>
      <c r="I55" s="10" t="inlineStr">
        <is>
          <t>=D55+E15</t>
        </is>
      </c>
    </row>
    <row r="56">
      <c r="B56" s="5" t="inlineStr">
        <is>
          <t>Long-term debt</t>
        </is>
      </c>
      <c r="D56" s="6" t="n">
        <v>200</v>
      </c>
      <c r="E56" s="9">
        <f>D56-E16</f>
        <v/>
      </c>
      <c r="F56" s="9">
        <f>E56-D56</f>
        <v/>
      </c>
      <c r="G56" s="10" t="inlineStr">
        <is>
          <t>Link 5: repaid 20</t>
        </is>
      </c>
      <c r="I56" s="10" t="inlineStr">
        <is>
          <t>=D56-E16</t>
        </is>
      </c>
    </row>
    <row r="57">
      <c r="B57" s="11" t="inlineStr">
        <is>
          <t>Total liabilities</t>
        </is>
      </c>
      <c r="D57" s="12">
        <f>SUM(D54:D56)</f>
        <v/>
      </c>
      <c r="E57" s="12">
        <f>SUM(E54:E56)</f>
        <v/>
      </c>
      <c r="F57" s="12">
        <f>E57-D57</f>
        <v/>
      </c>
      <c r="I57" s="10" t="inlineStr">
        <is>
          <t>=SUM(E54:E56)</t>
        </is>
      </c>
    </row>
    <row r="58">
      <c r="B58" s="5" t="inlineStr">
        <is>
          <t>Common stock</t>
        </is>
      </c>
      <c r="D58" s="6" t="n">
        <v>100</v>
      </c>
      <c r="E58" s="9">
        <f>D58</f>
        <v/>
      </c>
      <c r="F58" s="9">
        <f>E58-D58</f>
        <v/>
      </c>
      <c r="G58" s="10" t="inlineStr">
        <is>
          <t>No shares issued or bought back</t>
        </is>
      </c>
      <c r="I58" s="10" t="inlineStr">
        <is>
          <t>=D58</t>
        </is>
      </c>
    </row>
    <row r="59">
      <c r="B59" s="5" t="inlineStr">
        <is>
          <t>Retained earnings</t>
        </is>
      </c>
      <c r="D59" s="6" t="n">
        <v>110</v>
      </c>
      <c r="E59" s="9">
        <f>D59+E29-E17</f>
        <v/>
      </c>
      <c r="F59" s="9">
        <f>E59-D59</f>
        <v/>
      </c>
      <c r="G59" s="10" t="inlineStr">
        <is>
          <t>Link 1: plus net income 45, minus dividends 12</t>
        </is>
      </c>
      <c r="I59" s="10" t="inlineStr">
        <is>
          <t>=D59+E29-E17</t>
        </is>
      </c>
    </row>
    <row r="60">
      <c r="B60" s="11" t="inlineStr">
        <is>
          <t>Total equity</t>
        </is>
      </c>
      <c r="D60" s="12">
        <f>D58+D59</f>
        <v/>
      </c>
      <c r="E60" s="12">
        <f>E58+E59</f>
        <v/>
      </c>
      <c r="F60" s="12">
        <f>E60-D60</f>
        <v/>
      </c>
      <c r="I60" s="10" t="inlineStr">
        <is>
          <t>=E58+E59</t>
        </is>
      </c>
    </row>
    <row r="61">
      <c r="B61" s="11" t="inlineStr">
        <is>
          <t>Total liabilities and equity</t>
        </is>
      </c>
      <c r="D61" s="12">
        <f>D57+D60</f>
        <v/>
      </c>
      <c r="E61" s="12">
        <f>E57+E60</f>
        <v/>
      </c>
      <c r="F61" s="12">
        <f>E61-D61</f>
        <v/>
      </c>
      <c r="I61" s="10" t="inlineStr">
        <is>
          <t>=E57+E60</t>
        </is>
      </c>
    </row>
    <row r="62">
      <c r="B62" s="13" t="inlineStr">
        <is>
          <t>Balance check (assets minus L+E)</t>
        </is>
      </c>
      <c r="D62" s="14">
        <f>D53-D61</f>
        <v/>
      </c>
      <c r="E62" s="14">
        <f>E53-E61</f>
        <v/>
      </c>
      <c r="F62" s="15" t="n"/>
      <c r="G62" s="16" t="inlineStr">
        <is>
          <t>Must be 0</t>
        </is>
      </c>
      <c r="I62" s="10" t="inlineStr">
        <is>
          <t>=E53-E61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" customWidth="1" min="3" max="3"/>
    <col width="13" customWidth="1" min="4" max="4"/>
    <col width="13" customWidth="1" min="5" max="5"/>
    <col width="2" customWidth="1" min="6" max="6"/>
    <col width="22" customWidth="1" min="7" max="7"/>
  </cols>
  <sheetData>
    <row r="1">
      <c r="B1" s="1" t="inlineStr">
        <is>
          <t>Walk me through $10 of depreciation</t>
        </is>
      </c>
    </row>
    <row r="2">
      <c r="B2" s="2" t="inlineStr">
        <is>
          <t>$. Each line is the change versus a year without the extra depreciation. Parentheses mean the line went down.</t>
        </is>
      </c>
    </row>
    <row r="4">
      <c r="B4" s="3" t="inlineStr">
        <is>
          <t>Inputs</t>
        </is>
      </c>
      <c r="C4" s="3" t="n"/>
      <c r="D4" s="4" t="inlineStr">
        <is>
          <t>25% tax rate</t>
        </is>
      </c>
      <c r="E4" s="4" t="inlineStr">
        <is>
          <t>40% tax rate</t>
        </is>
      </c>
      <c r="F4" s="3" t="n"/>
      <c r="G4" s="3" t="n"/>
    </row>
    <row r="5">
      <c r="B5" s="5" t="inlineStr">
        <is>
          <t>Extra depreciation</t>
        </is>
      </c>
      <c r="D5" s="17" t="n">
        <v>10</v>
      </c>
      <c r="E5" s="17" t="n">
        <v>10</v>
      </c>
    </row>
    <row r="6">
      <c r="B6" s="5" t="inlineStr">
        <is>
          <t>Tax rate</t>
        </is>
      </c>
      <c r="D6" s="7" t="n">
        <v>0.25</v>
      </c>
      <c r="E6" s="7" t="n">
        <v>0.4</v>
      </c>
    </row>
    <row r="8">
      <c r="B8" s="3" t="inlineStr">
        <is>
          <t>Income statement</t>
        </is>
      </c>
      <c r="C8" s="3" t="n"/>
      <c r="D8" s="4" t="inlineStr">
        <is>
          <t>25% tax rate</t>
        </is>
      </c>
      <c r="E8" s="4" t="inlineStr">
        <is>
          <t>40% tax rate</t>
        </is>
      </c>
      <c r="F8" s="3" t="n"/>
      <c r="G8" s="8" t="inlineStr">
        <is>
          <t>Formula (25%)</t>
        </is>
      </c>
    </row>
    <row r="9">
      <c r="B9" s="5" t="inlineStr">
        <is>
          <t>Depreciation expense</t>
        </is>
      </c>
      <c r="D9" s="18">
        <f>D5</f>
        <v/>
      </c>
      <c r="E9" s="18">
        <f>E5</f>
        <v/>
      </c>
      <c r="G9" s="10" t="inlineStr">
        <is>
          <t>=D5</t>
        </is>
      </c>
    </row>
    <row r="10">
      <c r="B10" s="5" t="inlineStr">
        <is>
          <t>Pre-tax income</t>
        </is>
      </c>
      <c r="D10" s="18">
        <f>-D9</f>
        <v/>
      </c>
      <c r="E10" s="18">
        <f>-E9</f>
        <v/>
      </c>
      <c r="G10" s="10" t="inlineStr">
        <is>
          <t>=-D9</t>
        </is>
      </c>
    </row>
    <row r="11">
      <c r="B11" s="5" t="inlineStr">
        <is>
          <t>Taxes</t>
        </is>
      </c>
      <c r="D11" s="18">
        <f>D10*D6</f>
        <v/>
      </c>
      <c r="E11" s="18">
        <f>E10*E6</f>
        <v/>
      </c>
      <c r="G11" s="10" t="inlineStr">
        <is>
          <t>=D10*D6</t>
        </is>
      </c>
    </row>
    <row r="12">
      <c r="B12" s="11" t="inlineStr">
        <is>
          <t>Net income</t>
        </is>
      </c>
      <c r="D12" s="19">
        <f>D10-D11</f>
        <v/>
      </c>
      <c r="E12" s="19">
        <f>E10-E11</f>
        <v/>
      </c>
      <c r="G12" s="10" t="inlineStr">
        <is>
          <t>=D10-D11</t>
        </is>
      </c>
    </row>
    <row r="14">
      <c r="B14" s="3" t="inlineStr">
        <is>
          <t>Cash flow statement</t>
        </is>
      </c>
      <c r="C14" s="3" t="n"/>
      <c r="D14" s="4" t="inlineStr">
        <is>
          <t>25% tax rate</t>
        </is>
      </c>
      <c r="E14" s="4" t="inlineStr">
        <is>
          <t>40% tax rate</t>
        </is>
      </c>
      <c r="F14" s="3" t="n"/>
      <c r="G14" s="8" t="inlineStr">
        <is>
          <t>Formula (25%)</t>
        </is>
      </c>
    </row>
    <row r="15">
      <c r="B15" s="5" t="inlineStr">
        <is>
          <t>Net income (top line)</t>
        </is>
      </c>
      <c r="D15" s="18">
        <f>D12</f>
        <v/>
      </c>
      <c r="E15" s="18">
        <f>E12</f>
        <v/>
      </c>
      <c r="G15" s="10" t="inlineStr">
        <is>
          <t>=D12</t>
        </is>
      </c>
    </row>
    <row r="16">
      <c r="B16" s="5" t="inlineStr">
        <is>
          <t>Add back depreciation</t>
        </is>
      </c>
      <c r="D16" s="18">
        <f>D9</f>
        <v/>
      </c>
      <c r="E16" s="18">
        <f>E9</f>
        <v/>
      </c>
      <c r="G16" s="10" t="inlineStr">
        <is>
          <t>=D9</t>
        </is>
      </c>
    </row>
    <row r="17">
      <c r="B17" s="11" t="inlineStr">
        <is>
          <t>Cash from operations</t>
        </is>
      </c>
      <c r="D17" s="19">
        <f>D15+D16</f>
        <v/>
      </c>
      <c r="E17" s="19">
        <f>E15+E16</f>
        <v/>
      </c>
      <c r="G17" s="10" t="inlineStr">
        <is>
          <t>=D15+D16</t>
        </is>
      </c>
    </row>
    <row r="18">
      <c r="B18" s="11" t="inlineStr">
        <is>
          <t>Net change in cash</t>
        </is>
      </c>
      <c r="D18" s="19">
        <f>D17</f>
        <v/>
      </c>
      <c r="E18" s="19">
        <f>E17</f>
        <v/>
      </c>
      <c r="G18" s="10" t="inlineStr">
        <is>
          <t>=D17</t>
        </is>
      </c>
    </row>
    <row r="20">
      <c r="B20" s="3" t="inlineStr">
        <is>
          <t>Balance sheet</t>
        </is>
      </c>
      <c r="C20" s="3" t="n"/>
      <c r="D20" s="4" t="inlineStr">
        <is>
          <t>25% tax rate</t>
        </is>
      </c>
      <c r="E20" s="4" t="inlineStr">
        <is>
          <t>40% tax rate</t>
        </is>
      </c>
      <c r="F20" s="3" t="n"/>
      <c r="G20" s="8" t="inlineStr">
        <is>
          <t>Formula (25%)</t>
        </is>
      </c>
    </row>
    <row r="21">
      <c r="B21" s="5" t="inlineStr">
        <is>
          <t>Cash</t>
        </is>
      </c>
      <c r="D21" s="18">
        <f>D18</f>
        <v/>
      </c>
      <c r="E21" s="18">
        <f>E18</f>
        <v/>
      </c>
      <c r="G21" s="10" t="inlineStr">
        <is>
          <t>=D18</t>
        </is>
      </c>
    </row>
    <row r="22">
      <c r="B22" s="5" t="inlineStr">
        <is>
          <t>Net PP&amp;E</t>
        </is>
      </c>
      <c r="D22" s="18">
        <f>-D9</f>
        <v/>
      </c>
      <c r="E22" s="18">
        <f>-E9</f>
        <v/>
      </c>
      <c r="G22" s="10" t="inlineStr">
        <is>
          <t>=-D9</t>
        </is>
      </c>
    </row>
    <row r="23">
      <c r="B23" s="11" t="inlineStr">
        <is>
          <t>Total assets</t>
        </is>
      </c>
      <c r="D23" s="19">
        <f>D21+D22</f>
        <v/>
      </c>
      <c r="E23" s="19">
        <f>E21+E22</f>
        <v/>
      </c>
      <c r="G23" s="10" t="inlineStr">
        <is>
          <t>=D21+D22</t>
        </is>
      </c>
    </row>
    <row r="24">
      <c r="B24" s="5" t="inlineStr">
        <is>
          <t>Retained earnings</t>
        </is>
      </c>
      <c r="D24" s="18">
        <f>D12</f>
        <v/>
      </c>
      <c r="E24" s="18">
        <f>E12</f>
        <v/>
      </c>
      <c r="G24" s="10" t="inlineStr">
        <is>
          <t>=D12</t>
        </is>
      </c>
    </row>
    <row r="25">
      <c r="B25" s="11" t="inlineStr">
        <is>
          <t>Total liabilities and equity</t>
        </is>
      </c>
      <c r="D25" s="19">
        <f>D24</f>
        <v/>
      </c>
      <c r="E25" s="19">
        <f>E24</f>
        <v/>
      </c>
      <c r="G25" s="10" t="inlineStr">
        <is>
          <t>=D24</t>
        </is>
      </c>
    </row>
    <row r="26">
      <c r="B26" s="20" t="inlineStr">
        <is>
          <t>Balance check (assets minus liabilities and equity)</t>
        </is>
      </c>
      <c r="D26" s="21">
        <f>D23-D25</f>
        <v/>
      </c>
      <c r="E26" s="21">
        <f>E23-E25</f>
        <v/>
      </c>
      <c r="G26" s="10" t="inlineStr">
        <is>
          <t>=D23-D25</t>
        </is>
      </c>
    </row>
    <row r="28">
      <c r="B28" s="2" t="inlineStr">
        <is>
          <t>The 2.5 of cash is the tax shield: 10 of depreciation times the 25 percent 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6" customWidth="1" min="2" max="2"/>
    <col width="2" customWidth="1" min="3" max="3"/>
    <col width="11" customWidth="1" min="4" max="4"/>
    <col width="2" customWidth="1" min="5" max="5"/>
    <col width="22" customWidth="1" min="6" max="6"/>
  </cols>
  <sheetData>
    <row r="1">
      <c r="B1" s="1" t="inlineStr">
        <is>
          <t>Ten more scenarios, each worked the same way</t>
        </is>
      </c>
    </row>
    <row r="2">
      <c r="B2" s="2" t="inlineStr">
        <is>
          <t>$. Every table is the change caused by the scenario. Parentheses mean the line went down. The tax rate below feeds every block.</t>
        </is>
      </c>
    </row>
    <row r="3">
      <c r="B3" s="5" t="inlineStr">
        <is>
          <t>Tax rate</t>
        </is>
      </c>
      <c r="D3" s="7" t="n">
        <v>0.25</v>
      </c>
    </row>
    <row r="5">
      <c r="B5" s="3" t="inlineStr">
        <is>
          <t>Inventory goes up by $10, paid in cash</t>
        </is>
      </c>
      <c r="C5" s="3" t="n"/>
      <c r="D5" s="4" t="inlineStr">
        <is>
          <t>Change</t>
        </is>
      </c>
      <c r="E5" s="3" t="n"/>
      <c r="F5" s="8" t="inlineStr">
        <is>
          <t>Formula</t>
        </is>
      </c>
    </row>
    <row r="6">
      <c r="B6" s="22" t="inlineStr">
        <is>
          <t>Input: Inventory bought, paid in cash</t>
        </is>
      </c>
      <c r="D6" s="6" t="n">
        <v>10</v>
      </c>
    </row>
    <row r="7">
      <c r="B7" s="5" t="inlineStr">
        <is>
          <t>Income statement</t>
        </is>
      </c>
      <c r="D7" s="23" t="inlineStr">
        <is>
          <t>no change</t>
        </is>
      </c>
    </row>
    <row r="8">
      <c r="B8" s="5" t="inlineStr">
        <is>
          <t>Cash flow statement: change in inventory (asset up, cash out)</t>
        </is>
      </c>
      <c r="D8" s="9">
        <f>-D6</f>
        <v/>
      </c>
      <c r="F8" s="10" t="inlineStr">
        <is>
          <t>=-D6</t>
        </is>
      </c>
    </row>
    <row r="9">
      <c r="B9" s="11" t="inlineStr">
        <is>
          <t>Cash flow statement: cash from operations</t>
        </is>
      </c>
      <c r="D9" s="12">
        <f>D8</f>
        <v/>
      </c>
      <c r="F9" s="10" t="inlineStr">
        <is>
          <t>=D8</t>
        </is>
      </c>
    </row>
    <row r="10">
      <c r="B10" s="11" t="inlineStr">
        <is>
          <t>Cash flow statement: net change in cash</t>
        </is>
      </c>
      <c r="D10" s="12">
        <f>D9</f>
        <v/>
      </c>
      <c r="F10" s="10" t="inlineStr">
        <is>
          <t>=D9</t>
        </is>
      </c>
    </row>
    <row r="11">
      <c r="B11" s="5" t="inlineStr">
        <is>
          <t>Balance sheet: cash</t>
        </is>
      </c>
      <c r="D11" s="9">
        <f>D10</f>
        <v/>
      </c>
      <c r="F11" s="10" t="inlineStr">
        <is>
          <t>=D10</t>
        </is>
      </c>
    </row>
    <row r="12">
      <c r="B12" s="5" t="inlineStr">
        <is>
          <t>Balance sheet: inventory</t>
        </is>
      </c>
      <c r="D12" s="9">
        <f>D6</f>
        <v/>
      </c>
      <c r="F12" s="10" t="inlineStr">
        <is>
          <t>=D6</t>
        </is>
      </c>
    </row>
    <row r="13">
      <c r="B13" s="11" t="inlineStr">
        <is>
          <t>Balance sheet: total assets</t>
        </is>
      </c>
      <c r="D13" s="12">
        <f>D11+D12</f>
        <v/>
      </c>
      <c r="F13" s="10" t="inlineStr">
        <is>
          <t>=D11+D12</t>
        </is>
      </c>
    </row>
    <row r="14">
      <c r="B14" s="11" t="inlineStr">
        <is>
          <t>Balance sheet: total liabilities and equity</t>
        </is>
      </c>
      <c r="D14" s="12">
        <f>0</f>
        <v/>
      </c>
      <c r="F14" s="10" t="inlineStr">
        <is>
          <t>=0</t>
        </is>
      </c>
    </row>
    <row r="15">
      <c r="B15" s="24" t="inlineStr">
        <is>
          <t>Balance check</t>
        </is>
      </c>
      <c r="D15" s="14">
        <f>D13-D14</f>
        <v/>
      </c>
      <c r="F15" s="10" t="inlineStr">
        <is>
          <t>=D13-D14</t>
        </is>
      </c>
    </row>
    <row r="17">
      <c r="B17" s="3" t="inlineStr">
        <is>
          <t>Inventory goes up by $10, bought on credit</t>
        </is>
      </c>
      <c r="C17" s="3" t="n"/>
      <c r="D17" s="4" t="inlineStr">
        <is>
          <t>Change</t>
        </is>
      </c>
      <c r="E17" s="3" t="n"/>
      <c r="F17" s="8" t="inlineStr">
        <is>
          <t>Formula</t>
        </is>
      </c>
    </row>
    <row r="18">
      <c r="B18" s="22" t="inlineStr">
        <is>
          <t>Input: Inventory bought on credit (supplier not yet paid)</t>
        </is>
      </c>
      <c r="D18" s="6" t="n">
        <v>10</v>
      </c>
    </row>
    <row r="19">
      <c r="B19" s="5" t="inlineStr">
        <is>
          <t>Income statement</t>
        </is>
      </c>
      <c r="D19" s="23" t="inlineStr">
        <is>
          <t>no change</t>
        </is>
      </c>
    </row>
    <row r="20">
      <c r="B20" s="5" t="inlineStr">
        <is>
          <t>Cash flow statement: change in inventory (asset up, cash out)</t>
        </is>
      </c>
      <c r="D20" s="9">
        <f>-D18</f>
        <v/>
      </c>
      <c r="F20" s="10" t="inlineStr">
        <is>
          <t>=-D18</t>
        </is>
      </c>
    </row>
    <row r="21">
      <c r="B21" s="5" t="inlineStr">
        <is>
          <t>Cash flow statement: change in accounts payable (liability up, cash in)</t>
        </is>
      </c>
      <c r="D21" s="9">
        <f>D18</f>
        <v/>
      </c>
      <c r="F21" s="10" t="inlineStr">
        <is>
          <t>=D18</t>
        </is>
      </c>
    </row>
    <row r="22">
      <c r="B22" s="11" t="inlineStr">
        <is>
          <t>Cash flow statement: cash from operations</t>
        </is>
      </c>
      <c r="D22" s="12">
        <f>D20+D21</f>
        <v/>
      </c>
      <c r="F22" s="10" t="inlineStr">
        <is>
          <t>=D20+D21</t>
        </is>
      </c>
    </row>
    <row r="23">
      <c r="B23" s="11" t="inlineStr">
        <is>
          <t>Cash flow statement: net change in cash</t>
        </is>
      </c>
      <c r="D23" s="12">
        <f>D22</f>
        <v/>
      </c>
      <c r="F23" s="10" t="inlineStr">
        <is>
          <t>=D22</t>
        </is>
      </c>
    </row>
    <row r="24">
      <c r="B24" s="5" t="inlineStr">
        <is>
          <t>Balance sheet: inventory</t>
        </is>
      </c>
      <c r="D24" s="9">
        <f>D18</f>
        <v/>
      </c>
      <c r="F24" s="10" t="inlineStr">
        <is>
          <t>=D18</t>
        </is>
      </c>
    </row>
    <row r="25">
      <c r="B25" s="11" t="inlineStr">
        <is>
          <t>Balance sheet: total assets</t>
        </is>
      </c>
      <c r="D25" s="12">
        <f>D23+D24</f>
        <v/>
      </c>
      <c r="F25" s="10" t="inlineStr">
        <is>
          <t>=D23+D24</t>
        </is>
      </c>
    </row>
    <row r="26">
      <c r="B26" s="5" t="inlineStr">
        <is>
          <t>Balance sheet: accounts payable</t>
        </is>
      </c>
      <c r="D26" s="9">
        <f>D18</f>
        <v/>
      </c>
      <c r="F26" s="10" t="inlineStr">
        <is>
          <t>=D18</t>
        </is>
      </c>
    </row>
    <row r="27">
      <c r="B27" s="11" t="inlineStr">
        <is>
          <t>Balance sheet: total liabilities and equity</t>
        </is>
      </c>
      <c r="D27" s="12">
        <f>D26</f>
        <v/>
      </c>
      <c r="F27" s="10" t="inlineStr">
        <is>
          <t>=D26</t>
        </is>
      </c>
    </row>
    <row r="28">
      <c r="B28" s="24" t="inlineStr">
        <is>
          <t>Balance check</t>
        </is>
      </c>
      <c r="D28" s="14">
        <f>D25-D27</f>
        <v/>
      </c>
      <c r="F28" s="10" t="inlineStr">
        <is>
          <t>=D25-D27</t>
        </is>
      </c>
    </row>
    <row r="30">
      <c r="B30" s="3" t="inlineStr">
        <is>
          <t>$100 of capex, paid in cash</t>
        </is>
      </c>
      <c r="C30" s="3" t="n"/>
      <c r="D30" s="4" t="inlineStr">
        <is>
          <t>Change</t>
        </is>
      </c>
      <c r="E30" s="3" t="n"/>
      <c r="F30" s="8" t="inlineStr">
        <is>
          <t>Formula</t>
        </is>
      </c>
    </row>
    <row r="31">
      <c r="B31" s="22" t="inlineStr">
        <is>
          <t>Input: Capital expenditure, paid in cash</t>
        </is>
      </c>
      <c r="D31" s="6" t="n">
        <v>100</v>
      </c>
    </row>
    <row r="32">
      <c r="B32" s="5" t="inlineStr">
        <is>
          <t>Income statement</t>
        </is>
      </c>
      <c r="D32" s="23" t="inlineStr">
        <is>
          <t>no change</t>
        </is>
      </c>
    </row>
    <row r="33">
      <c r="B33" s="5" t="inlineStr">
        <is>
          <t>Cash flow statement: cash from operations</t>
        </is>
      </c>
      <c r="D33" s="9">
        <f>0</f>
        <v/>
      </c>
      <c r="F33" s="10" t="inlineStr">
        <is>
          <t>=0</t>
        </is>
      </c>
    </row>
    <row r="34">
      <c r="B34" s="5" t="inlineStr">
        <is>
          <t>Cash flow statement: capital expenditures (investing)</t>
        </is>
      </c>
      <c r="D34" s="9">
        <f>-D31</f>
        <v/>
      </c>
      <c r="F34" s="10" t="inlineStr">
        <is>
          <t>=-D31</t>
        </is>
      </c>
    </row>
    <row r="35">
      <c r="B35" s="11" t="inlineStr">
        <is>
          <t>Cash flow statement: net change in cash</t>
        </is>
      </c>
      <c r="D35" s="12">
        <f>D33+D34</f>
        <v/>
      </c>
      <c r="F35" s="10" t="inlineStr">
        <is>
          <t>=D33+D34</t>
        </is>
      </c>
    </row>
    <row r="36">
      <c r="B36" s="5" t="inlineStr">
        <is>
          <t>Balance sheet: cash</t>
        </is>
      </c>
      <c r="D36" s="9">
        <f>D35</f>
        <v/>
      </c>
      <c r="F36" s="10" t="inlineStr">
        <is>
          <t>=D35</t>
        </is>
      </c>
    </row>
    <row r="37">
      <c r="B37" s="5" t="inlineStr">
        <is>
          <t>Balance sheet: net PP&amp;E</t>
        </is>
      </c>
      <c r="D37" s="9">
        <f>D31</f>
        <v/>
      </c>
      <c r="F37" s="10" t="inlineStr">
        <is>
          <t>=D31</t>
        </is>
      </c>
    </row>
    <row r="38">
      <c r="B38" s="11" t="inlineStr">
        <is>
          <t>Balance sheet: total assets</t>
        </is>
      </c>
      <c r="D38" s="12">
        <f>D36+D37</f>
        <v/>
      </c>
      <c r="F38" s="10" t="inlineStr">
        <is>
          <t>=D36+D37</t>
        </is>
      </c>
    </row>
    <row r="39">
      <c r="B39" s="11" t="inlineStr">
        <is>
          <t>Balance sheet: total liabilities and equity</t>
        </is>
      </c>
      <c r="D39" s="12">
        <f>0</f>
        <v/>
      </c>
      <c r="F39" s="10" t="inlineStr">
        <is>
          <t>=0</t>
        </is>
      </c>
    </row>
    <row r="40">
      <c r="B40" s="24" t="inlineStr">
        <is>
          <t>Balance check</t>
        </is>
      </c>
      <c r="D40" s="14">
        <f>D38-D39</f>
        <v/>
      </c>
      <c r="F40" s="10" t="inlineStr">
        <is>
          <t>=D38-D39</t>
        </is>
      </c>
    </row>
    <row r="42">
      <c r="B42" s="3" t="inlineStr">
        <is>
          <t>Raise $100 of debt</t>
        </is>
      </c>
      <c r="C42" s="3" t="n"/>
      <c r="D42" s="4" t="inlineStr">
        <is>
          <t>Change</t>
        </is>
      </c>
      <c r="E42" s="3" t="n"/>
      <c r="F42" s="8" t="inlineStr">
        <is>
          <t>Formula</t>
        </is>
      </c>
    </row>
    <row r="43">
      <c r="B43" s="22" t="inlineStr">
        <is>
          <t>Input: Debt raised</t>
        </is>
      </c>
      <c r="D43" s="6" t="n">
        <v>100</v>
      </c>
    </row>
    <row r="44">
      <c r="B44" s="5" t="inlineStr">
        <is>
          <t>Income statement</t>
        </is>
      </c>
      <c r="D44" s="23" t="inlineStr">
        <is>
          <t>no change</t>
        </is>
      </c>
    </row>
    <row r="45">
      <c r="B45" s="5" t="inlineStr">
        <is>
          <t>Cash flow statement: cash from operations</t>
        </is>
      </c>
      <c r="D45" s="9">
        <f>0</f>
        <v/>
      </c>
      <c r="F45" s="10" t="inlineStr">
        <is>
          <t>=0</t>
        </is>
      </c>
    </row>
    <row r="46">
      <c r="B46" s="5" t="inlineStr">
        <is>
          <t>Cash flow statement: debt issued (financing)</t>
        </is>
      </c>
      <c r="D46" s="9">
        <f>D43</f>
        <v/>
      </c>
      <c r="F46" s="10" t="inlineStr">
        <is>
          <t>=D43</t>
        </is>
      </c>
    </row>
    <row r="47">
      <c r="B47" s="11" t="inlineStr">
        <is>
          <t>Cash flow statement: net change in cash</t>
        </is>
      </c>
      <c r="D47" s="12">
        <f>D45+D46</f>
        <v/>
      </c>
      <c r="F47" s="10" t="inlineStr">
        <is>
          <t>=D45+D46</t>
        </is>
      </c>
    </row>
    <row r="48">
      <c r="B48" s="5" t="inlineStr">
        <is>
          <t>Balance sheet: cash</t>
        </is>
      </c>
      <c r="D48" s="9">
        <f>D47</f>
        <v/>
      </c>
      <c r="F48" s="10" t="inlineStr">
        <is>
          <t>=D47</t>
        </is>
      </c>
    </row>
    <row r="49">
      <c r="B49" s="11" t="inlineStr">
        <is>
          <t>Balance sheet: total assets</t>
        </is>
      </c>
      <c r="D49" s="12">
        <f>D48</f>
        <v/>
      </c>
      <c r="F49" s="10" t="inlineStr">
        <is>
          <t>=D48</t>
        </is>
      </c>
    </row>
    <row r="50">
      <c r="B50" s="5" t="inlineStr">
        <is>
          <t>Balance sheet: long-term debt</t>
        </is>
      </c>
      <c r="D50" s="9">
        <f>D43</f>
        <v/>
      </c>
      <c r="F50" s="10" t="inlineStr">
        <is>
          <t>=D43</t>
        </is>
      </c>
    </row>
    <row r="51">
      <c r="B51" s="11" t="inlineStr">
        <is>
          <t>Balance sheet: total liabilities and equity</t>
        </is>
      </c>
      <c r="D51" s="12">
        <f>D50</f>
        <v/>
      </c>
      <c r="F51" s="10" t="inlineStr">
        <is>
          <t>=D50</t>
        </is>
      </c>
    </row>
    <row r="52">
      <c r="B52" s="24" t="inlineStr">
        <is>
          <t>Balance check</t>
        </is>
      </c>
      <c r="D52" s="14">
        <f>D49-D51</f>
        <v/>
      </c>
      <c r="F52" s="10" t="inlineStr">
        <is>
          <t>=D49-D51</t>
        </is>
      </c>
    </row>
    <row r="54">
      <c r="B54" s="3" t="inlineStr">
        <is>
          <t>Buy back $50 of stock</t>
        </is>
      </c>
      <c r="C54" s="3" t="n"/>
      <c r="D54" s="4" t="inlineStr">
        <is>
          <t>Change</t>
        </is>
      </c>
      <c r="E54" s="3" t="n"/>
      <c r="F54" s="8" t="inlineStr">
        <is>
          <t>Formula</t>
        </is>
      </c>
    </row>
    <row r="55">
      <c r="B55" s="22" t="inlineStr">
        <is>
          <t>Input: Shares repurchased for cash</t>
        </is>
      </c>
      <c r="D55" s="6" t="n">
        <v>50</v>
      </c>
    </row>
    <row r="56">
      <c r="B56" s="5" t="inlineStr">
        <is>
          <t>Income statement</t>
        </is>
      </c>
      <c r="D56" s="23" t="inlineStr">
        <is>
          <t>no change</t>
        </is>
      </c>
    </row>
    <row r="57">
      <c r="B57" s="5" t="inlineStr">
        <is>
          <t>Cash flow statement: cash from operations</t>
        </is>
      </c>
      <c r="D57" s="9">
        <f>0</f>
        <v/>
      </c>
      <c r="F57" s="10" t="inlineStr">
        <is>
          <t>=0</t>
        </is>
      </c>
    </row>
    <row r="58">
      <c r="B58" s="5" t="inlineStr">
        <is>
          <t>Cash flow statement: share repurchases (financing)</t>
        </is>
      </c>
      <c r="D58" s="9">
        <f>-D55</f>
        <v/>
      </c>
      <c r="F58" s="10" t="inlineStr">
        <is>
          <t>=-D55</t>
        </is>
      </c>
    </row>
    <row r="59">
      <c r="B59" s="11" t="inlineStr">
        <is>
          <t>Cash flow statement: net change in cash</t>
        </is>
      </c>
      <c r="D59" s="12">
        <f>D57+D58</f>
        <v/>
      </c>
      <c r="F59" s="10" t="inlineStr">
        <is>
          <t>=D57+D58</t>
        </is>
      </c>
    </row>
    <row r="60">
      <c r="B60" s="5" t="inlineStr">
        <is>
          <t>Balance sheet: cash</t>
        </is>
      </c>
      <c r="D60" s="9">
        <f>D59</f>
        <v/>
      </c>
      <c r="F60" s="10" t="inlineStr">
        <is>
          <t>=D59</t>
        </is>
      </c>
    </row>
    <row r="61">
      <c r="B61" s="11" t="inlineStr">
        <is>
          <t>Balance sheet: total assets</t>
        </is>
      </c>
      <c r="D61" s="12">
        <f>D60</f>
        <v/>
      </c>
      <c r="F61" s="10" t="inlineStr">
        <is>
          <t>=D60</t>
        </is>
      </c>
    </row>
    <row r="62">
      <c r="B62" s="5" t="inlineStr">
        <is>
          <t>Balance sheet: treasury stock (reduces equity)</t>
        </is>
      </c>
      <c r="D62" s="9">
        <f>-D55</f>
        <v/>
      </c>
      <c r="F62" s="10" t="inlineStr">
        <is>
          <t>=-D55</t>
        </is>
      </c>
    </row>
    <row r="63">
      <c r="B63" s="11" t="inlineStr">
        <is>
          <t>Balance sheet: total liabilities and equity</t>
        </is>
      </c>
      <c r="D63" s="12">
        <f>D62</f>
        <v/>
      </c>
      <c r="F63" s="10" t="inlineStr">
        <is>
          <t>=D62</t>
        </is>
      </c>
    </row>
    <row r="64">
      <c r="B64" s="24" t="inlineStr">
        <is>
          <t>Balance check</t>
        </is>
      </c>
      <c r="D64" s="14">
        <f>D61-D63</f>
        <v/>
      </c>
      <c r="F64" s="10" t="inlineStr">
        <is>
          <t>=D61-D63</t>
        </is>
      </c>
    </row>
    <row r="66">
      <c r="B66" s="3" t="inlineStr">
        <is>
          <t>$20 of deferred revenue collected</t>
        </is>
      </c>
      <c r="C66" s="3" t="n"/>
      <c r="D66" s="4" t="inlineStr">
        <is>
          <t>Change</t>
        </is>
      </c>
      <c r="E66" s="3" t="n"/>
      <c r="F66" s="8" t="inlineStr">
        <is>
          <t>Formula</t>
        </is>
      </c>
    </row>
    <row r="67">
      <c r="B67" s="22" t="inlineStr">
        <is>
          <t>Input: Cash collected before the service is delivered</t>
        </is>
      </c>
      <c r="D67" s="6" t="n">
        <v>20</v>
      </c>
    </row>
    <row r="68">
      <c r="B68" s="5" t="inlineStr">
        <is>
          <t>Income statement</t>
        </is>
      </c>
      <c r="D68" s="23" t="inlineStr">
        <is>
          <t>no change</t>
        </is>
      </c>
    </row>
    <row r="69">
      <c r="B69" s="5" t="inlineStr">
        <is>
          <t>Cash flow statement: change in deferred revenue (liability up, cash in)</t>
        </is>
      </c>
      <c r="D69" s="9">
        <f>D67</f>
        <v/>
      </c>
      <c r="F69" s="10" t="inlineStr">
        <is>
          <t>=D67</t>
        </is>
      </c>
    </row>
    <row r="70">
      <c r="B70" s="11" t="inlineStr">
        <is>
          <t>Cash flow statement: cash from operations</t>
        </is>
      </c>
      <c r="D70" s="12">
        <f>D69</f>
        <v/>
      </c>
      <c r="F70" s="10" t="inlineStr">
        <is>
          <t>=D69</t>
        </is>
      </c>
    </row>
    <row r="71">
      <c r="B71" s="11" t="inlineStr">
        <is>
          <t>Cash flow statement: net change in cash</t>
        </is>
      </c>
      <c r="D71" s="12">
        <f>D70</f>
        <v/>
      </c>
      <c r="F71" s="10" t="inlineStr">
        <is>
          <t>=D70</t>
        </is>
      </c>
    </row>
    <row r="72">
      <c r="B72" s="5" t="inlineStr">
        <is>
          <t>Balance sheet: cash</t>
        </is>
      </c>
      <c r="D72" s="9">
        <f>D71</f>
        <v/>
      </c>
      <c r="F72" s="10" t="inlineStr">
        <is>
          <t>=D71</t>
        </is>
      </c>
    </row>
    <row r="73">
      <c r="B73" s="11" t="inlineStr">
        <is>
          <t>Balance sheet: total assets</t>
        </is>
      </c>
      <c r="D73" s="12">
        <f>D72</f>
        <v/>
      </c>
      <c r="F73" s="10" t="inlineStr">
        <is>
          <t>=D72</t>
        </is>
      </c>
    </row>
    <row r="74">
      <c r="B74" s="5" t="inlineStr">
        <is>
          <t>Balance sheet: deferred revenue</t>
        </is>
      </c>
      <c r="D74" s="9">
        <f>D67</f>
        <v/>
      </c>
      <c r="F74" s="10" t="inlineStr">
        <is>
          <t>=D67</t>
        </is>
      </c>
    </row>
    <row r="75">
      <c r="B75" s="11" t="inlineStr">
        <is>
          <t>Balance sheet: total liabilities and equity</t>
        </is>
      </c>
      <c r="D75" s="12">
        <f>D74</f>
        <v/>
      </c>
      <c r="F75" s="10" t="inlineStr">
        <is>
          <t>=D74</t>
        </is>
      </c>
    </row>
    <row r="76">
      <c r="B76" s="24" t="inlineStr">
        <is>
          <t>Balance check</t>
        </is>
      </c>
      <c r="D76" s="14">
        <f>D73-D75</f>
        <v/>
      </c>
      <c r="F76" s="10" t="inlineStr">
        <is>
          <t>=D73-D75</t>
        </is>
      </c>
    </row>
    <row r="78">
      <c r="B78" s="3" t="inlineStr">
        <is>
          <t>A $50 write-down of PP&amp;E (treated as tax deductible)</t>
        </is>
      </c>
      <c r="C78" s="3" t="n"/>
      <c r="D78" s="4" t="inlineStr">
        <is>
          <t>Change</t>
        </is>
      </c>
      <c r="E78" s="3" t="n"/>
      <c r="F78" s="8" t="inlineStr">
        <is>
          <t>Formula</t>
        </is>
      </c>
    </row>
    <row r="79">
      <c r="B79" s="22" t="inlineStr">
        <is>
          <t>Input: Write-down of PP&amp;E</t>
        </is>
      </c>
      <c r="D79" s="17" t="n">
        <v>50</v>
      </c>
    </row>
    <row r="80">
      <c r="B80" s="22" t="inlineStr">
        <is>
          <t>Tax rate (from the input above)</t>
        </is>
      </c>
      <c r="D80" s="25">
        <f>$D$3</f>
        <v/>
      </c>
    </row>
    <row r="81">
      <c r="B81" s="5" t="inlineStr">
        <is>
          <t>Income statement: write-down expense</t>
        </is>
      </c>
      <c r="D81" s="18">
        <f>D79</f>
        <v/>
      </c>
      <c r="F81" s="10" t="inlineStr">
        <is>
          <t>=D79</t>
        </is>
      </c>
    </row>
    <row r="82">
      <c r="B82" s="5" t="inlineStr">
        <is>
          <t>Income statement: pre-tax income</t>
        </is>
      </c>
      <c r="D82" s="18">
        <f>-D81</f>
        <v/>
      </c>
      <c r="F82" s="10" t="inlineStr">
        <is>
          <t>=-D81</t>
        </is>
      </c>
    </row>
    <row r="83">
      <c r="B83" s="5" t="inlineStr">
        <is>
          <t>Income statement: taxes</t>
        </is>
      </c>
      <c r="D83" s="18">
        <f>D82*D80</f>
        <v/>
      </c>
      <c r="F83" s="10" t="inlineStr">
        <is>
          <t>=D82*D80</t>
        </is>
      </c>
    </row>
    <row r="84">
      <c r="B84" s="11" t="inlineStr">
        <is>
          <t>Income statement: net income</t>
        </is>
      </c>
      <c r="D84" s="19">
        <f>D82-D83</f>
        <v/>
      </c>
      <c r="F84" s="10" t="inlineStr">
        <is>
          <t>=D82-D83</t>
        </is>
      </c>
    </row>
    <row r="85">
      <c r="B85" s="5" t="inlineStr">
        <is>
          <t>Cash flow statement: net income</t>
        </is>
      </c>
      <c r="D85" s="18">
        <f>D84</f>
        <v/>
      </c>
      <c r="F85" s="10" t="inlineStr">
        <is>
          <t>=D84</t>
        </is>
      </c>
    </row>
    <row r="86">
      <c r="B86" s="5" t="inlineStr">
        <is>
          <t>Cash flow statement: add back write-down (non-cash)</t>
        </is>
      </c>
      <c r="D86" s="18">
        <f>D81</f>
        <v/>
      </c>
      <c r="F86" s="10" t="inlineStr">
        <is>
          <t>=D81</t>
        </is>
      </c>
    </row>
    <row r="87">
      <c r="B87" s="11" t="inlineStr">
        <is>
          <t>Cash flow statement: cash from operations</t>
        </is>
      </c>
      <c r="D87" s="19">
        <f>D85+D86</f>
        <v/>
      </c>
      <c r="F87" s="10" t="inlineStr">
        <is>
          <t>=D85+D86</t>
        </is>
      </c>
    </row>
    <row r="88">
      <c r="B88" s="11" t="inlineStr">
        <is>
          <t>Cash flow statement: net change in cash</t>
        </is>
      </c>
      <c r="D88" s="19">
        <f>D87</f>
        <v/>
      </c>
      <c r="F88" s="10" t="inlineStr">
        <is>
          <t>=D87</t>
        </is>
      </c>
    </row>
    <row r="89">
      <c r="B89" s="5" t="inlineStr">
        <is>
          <t>Balance sheet: cash</t>
        </is>
      </c>
      <c r="D89" s="18">
        <f>D88</f>
        <v/>
      </c>
      <c r="F89" s="10" t="inlineStr">
        <is>
          <t>=D88</t>
        </is>
      </c>
    </row>
    <row r="90">
      <c r="B90" s="5" t="inlineStr">
        <is>
          <t>Balance sheet: net PP&amp;E</t>
        </is>
      </c>
      <c r="D90" s="18">
        <f>-D79</f>
        <v/>
      </c>
      <c r="F90" s="10" t="inlineStr">
        <is>
          <t>=-D79</t>
        </is>
      </c>
    </row>
    <row r="91">
      <c r="B91" s="11" t="inlineStr">
        <is>
          <t>Balance sheet: total assets</t>
        </is>
      </c>
      <c r="D91" s="19">
        <f>D89+D90</f>
        <v/>
      </c>
      <c r="F91" s="10" t="inlineStr">
        <is>
          <t>=D89+D90</t>
        </is>
      </c>
    </row>
    <row r="92">
      <c r="B92" s="5" t="inlineStr">
        <is>
          <t>Balance sheet: retained earnings</t>
        </is>
      </c>
      <c r="D92" s="18">
        <f>D84</f>
        <v/>
      </c>
      <c r="F92" s="10" t="inlineStr">
        <is>
          <t>=D84</t>
        </is>
      </c>
    </row>
    <row r="93">
      <c r="B93" s="11" t="inlineStr">
        <is>
          <t>Balance sheet: total liabilities and equity</t>
        </is>
      </c>
      <c r="D93" s="19">
        <f>D92</f>
        <v/>
      </c>
      <c r="F93" s="10" t="inlineStr">
        <is>
          <t>=D92</t>
        </is>
      </c>
    </row>
    <row r="94">
      <c r="B94" s="24" t="inlineStr">
        <is>
          <t>Balance check</t>
        </is>
      </c>
      <c r="D94" s="21">
        <f>D91-D93</f>
        <v/>
      </c>
      <c r="F94" s="10" t="inlineStr">
        <is>
          <t>=D91-D93</t>
        </is>
      </c>
    </row>
    <row r="96">
      <c r="B96" s="3" t="inlineStr">
        <is>
          <t>A $10 dividend</t>
        </is>
      </c>
      <c r="C96" s="3" t="n"/>
      <c r="D96" s="4" t="inlineStr">
        <is>
          <t>Change</t>
        </is>
      </c>
      <c r="E96" s="3" t="n"/>
      <c r="F96" s="8" t="inlineStr">
        <is>
          <t>Formula</t>
        </is>
      </c>
    </row>
    <row r="97">
      <c r="B97" s="22" t="inlineStr">
        <is>
          <t>Input: Dividend paid in cash</t>
        </is>
      </c>
      <c r="D97" s="6" t="n">
        <v>10</v>
      </c>
    </row>
    <row r="98">
      <c r="B98" s="5" t="inlineStr">
        <is>
          <t>Income statement</t>
        </is>
      </c>
      <c r="D98" s="23" t="inlineStr">
        <is>
          <t>no change</t>
        </is>
      </c>
    </row>
    <row r="99">
      <c r="B99" s="5" t="inlineStr">
        <is>
          <t>Cash flow statement: cash from operations</t>
        </is>
      </c>
      <c r="D99" s="9">
        <f>0</f>
        <v/>
      </c>
      <c r="F99" s="10" t="inlineStr">
        <is>
          <t>=0</t>
        </is>
      </c>
    </row>
    <row r="100">
      <c r="B100" s="5" t="inlineStr">
        <is>
          <t>Cash flow statement: dividends paid (financing)</t>
        </is>
      </c>
      <c r="D100" s="9">
        <f>-D97</f>
        <v/>
      </c>
      <c r="F100" s="10" t="inlineStr">
        <is>
          <t>=-D97</t>
        </is>
      </c>
    </row>
    <row r="101">
      <c r="B101" s="11" t="inlineStr">
        <is>
          <t>Cash flow statement: net change in cash</t>
        </is>
      </c>
      <c r="D101" s="12">
        <f>D99+D100</f>
        <v/>
      </c>
      <c r="F101" s="10" t="inlineStr">
        <is>
          <t>=D99+D100</t>
        </is>
      </c>
    </row>
    <row r="102">
      <c r="B102" s="5" t="inlineStr">
        <is>
          <t>Balance sheet: cash</t>
        </is>
      </c>
      <c r="D102" s="9">
        <f>D101</f>
        <v/>
      </c>
      <c r="F102" s="10" t="inlineStr">
        <is>
          <t>=D101</t>
        </is>
      </c>
    </row>
    <row r="103">
      <c r="B103" s="11" t="inlineStr">
        <is>
          <t>Balance sheet: total assets</t>
        </is>
      </c>
      <c r="D103" s="12">
        <f>D102</f>
        <v/>
      </c>
      <c r="F103" s="10" t="inlineStr">
        <is>
          <t>=D102</t>
        </is>
      </c>
    </row>
    <row r="104">
      <c r="B104" s="5" t="inlineStr">
        <is>
          <t>Balance sheet: retained earnings</t>
        </is>
      </c>
      <c r="D104" s="9">
        <f>-D97</f>
        <v/>
      </c>
      <c r="F104" s="10" t="inlineStr">
        <is>
          <t>=-D97</t>
        </is>
      </c>
    </row>
    <row r="105">
      <c r="B105" s="11" t="inlineStr">
        <is>
          <t>Balance sheet: total liabilities and equity</t>
        </is>
      </c>
      <c r="D105" s="12">
        <f>D104</f>
        <v/>
      </c>
      <c r="F105" s="10" t="inlineStr">
        <is>
          <t>=D104</t>
        </is>
      </c>
    </row>
    <row r="106">
      <c r="B106" s="24" t="inlineStr">
        <is>
          <t>Balance check</t>
        </is>
      </c>
      <c r="D106" s="14">
        <f>D103-D105</f>
        <v/>
      </c>
      <c r="F106" s="10" t="inlineStr">
        <is>
          <t>=D103-D105</t>
        </is>
      </c>
    </row>
    <row r="108">
      <c r="B108" s="3" t="inlineStr">
        <is>
          <t>Accrued expenses go up by $10</t>
        </is>
      </c>
      <c r="C108" s="3" t="n"/>
      <c r="D108" s="4" t="inlineStr">
        <is>
          <t>Change</t>
        </is>
      </c>
      <c r="E108" s="3" t="n"/>
      <c r="F108" s="8" t="inlineStr">
        <is>
          <t>Formula</t>
        </is>
      </c>
    </row>
    <row r="109">
      <c r="B109" s="22" t="inlineStr">
        <is>
          <t>Input: Expense recognized but not yet paid</t>
        </is>
      </c>
      <c r="D109" s="17" t="n">
        <v>10</v>
      </c>
    </row>
    <row r="110">
      <c r="B110" s="22" t="inlineStr">
        <is>
          <t>Tax rate (from the input above)</t>
        </is>
      </c>
      <c r="D110" s="25">
        <f>$D$3</f>
        <v/>
      </c>
    </row>
    <row r="111">
      <c r="B111" s="5" t="inlineStr">
        <is>
          <t>Income statement: operating expense</t>
        </is>
      </c>
      <c r="D111" s="18">
        <f>D109</f>
        <v/>
      </c>
      <c r="F111" s="10" t="inlineStr">
        <is>
          <t>=D109</t>
        </is>
      </c>
    </row>
    <row r="112">
      <c r="B112" s="5" t="inlineStr">
        <is>
          <t>Income statement: pre-tax income</t>
        </is>
      </c>
      <c r="D112" s="18">
        <f>-D111</f>
        <v/>
      </c>
      <c r="F112" s="10" t="inlineStr">
        <is>
          <t>=-D111</t>
        </is>
      </c>
    </row>
    <row r="113">
      <c r="B113" s="5" t="inlineStr">
        <is>
          <t>Income statement: taxes</t>
        </is>
      </c>
      <c r="D113" s="18">
        <f>D112*D110</f>
        <v/>
      </c>
      <c r="F113" s="10" t="inlineStr">
        <is>
          <t>=D112*D110</t>
        </is>
      </c>
    </row>
    <row r="114">
      <c r="B114" s="11" t="inlineStr">
        <is>
          <t>Income statement: net income</t>
        </is>
      </c>
      <c r="D114" s="19">
        <f>D112-D113</f>
        <v/>
      </c>
      <c r="F114" s="10" t="inlineStr">
        <is>
          <t>=D112-D113</t>
        </is>
      </c>
    </row>
    <row r="115">
      <c r="B115" s="5" t="inlineStr">
        <is>
          <t>Cash flow statement: net income</t>
        </is>
      </c>
      <c r="D115" s="18">
        <f>D114</f>
        <v/>
      </c>
      <c r="F115" s="10" t="inlineStr">
        <is>
          <t>=D114</t>
        </is>
      </c>
    </row>
    <row r="116">
      <c r="B116" s="5" t="inlineStr">
        <is>
          <t>Cash flow statement: change in accrued expenses (liability up, cash in)</t>
        </is>
      </c>
      <c r="D116" s="18">
        <f>D109</f>
        <v/>
      </c>
      <c r="F116" s="10" t="inlineStr">
        <is>
          <t>=D109</t>
        </is>
      </c>
    </row>
    <row r="117">
      <c r="B117" s="11" t="inlineStr">
        <is>
          <t>Cash flow statement: cash from operations</t>
        </is>
      </c>
      <c r="D117" s="19">
        <f>D115+D116</f>
        <v/>
      </c>
      <c r="F117" s="10" t="inlineStr">
        <is>
          <t>=D115+D116</t>
        </is>
      </c>
    </row>
    <row r="118">
      <c r="B118" s="11" t="inlineStr">
        <is>
          <t>Cash flow statement: net change in cash</t>
        </is>
      </c>
      <c r="D118" s="19">
        <f>D117</f>
        <v/>
      </c>
      <c r="F118" s="10" t="inlineStr">
        <is>
          <t>=D117</t>
        </is>
      </c>
    </row>
    <row r="119">
      <c r="B119" s="5" t="inlineStr">
        <is>
          <t>Balance sheet: cash</t>
        </is>
      </c>
      <c r="D119" s="18">
        <f>D118</f>
        <v/>
      </c>
      <c r="F119" s="10" t="inlineStr">
        <is>
          <t>=D118</t>
        </is>
      </c>
    </row>
    <row r="120">
      <c r="B120" s="11" t="inlineStr">
        <is>
          <t>Balance sheet: total assets</t>
        </is>
      </c>
      <c r="D120" s="19">
        <f>D119</f>
        <v/>
      </c>
      <c r="F120" s="10" t="inlineStr">
        <is>
          <t>=D119</t>
        </is>
      </c>
    </row>
    <row r="121">
      <c r="B121" s="5" t="inlineStr">
        <is>
          <t>Balance sheet: accrued expenses</t>
        </is>
      </c>
      <c r="D121" s="18">
        <f>D109</f>
        <v/>
      </c>
      <c r="F121" s="10" t="inlineStr">
        <is>
          <t>=D109</t>
        </is>
      </c>
    </row>
    <row r="122">
      <c r="B122" s="5" t="inlineStr">
        <is>
          <t>Balance sheet: retained earnings</t>
        </is>
      </c>
      <c r="D122" s="18">
        <f>D114</f>
        <v/>
      </c>
      <c r="F122" s="10" t="inlineStr">
        <is>
          <t>=D114</t>
        </is>
      </c>
    </row>
    <row r="123">
      <c r="B123" s="11" t="inlineStr">
        <is>
          <t>Balance sheet: total liabilities and equity</t>
        </is>
      </c>
      <c r="D123" s="19">
        <f>D121+D122</f>
        <v/>
      </c>
      <c r="F123" s="10" t="inlineStr">
        <is>
          <t>=D121+D122</t>
        </is>
      </c>
    </row>
    <row r="124">
      <c r="B124" s="24" t="inlineStr">
        <is>
          <t>Balance check</t>
        </is>
      </c>
      <c r="D124" s="21">
        <f>D120-D123</f>
        <v/>
      </c>
      <c r="F124" s="10" t="inlineStr">
        <is>
          <t>=D120-D123</t>
        </is>
      </c>
    </row>
    <row r="126">
      <c r="B126" s="3" t="inlineStr">
        <is>
          <t>Sell equipment with a $30 book value for $40</t>
        </is>
      </c>
      <c r="C126" s="3" t="n"/>
      <c r="D126" s="4" t="inlineStr">
        <is>
          <t>Change</t>
        </is>
      </c>
      <c r="E126" s="3" t="n"/>
      <c r="F126" s="8" t="inlineStr">
        <is>
          <t>Formula</t>
        </is>
      </c>
    </row>
    <row r="127">
      <c r="B127" s="22" t="inlineStr">
        <is>
          <t>Input: Book value of the equipment</t>
        </is>
      </c>
      <c r="D127" s="17" t="n">
        <v>30</v>
      </c>
    </row>
    <row r="128">
      <c r="B128" s="22" t="inlineStr">
        <is>
          <t>Input: Cash received for it</t>
        </is>
      </c>
      <c r="D128" s="17" t="n">
        <v>40</v>
      </c>
    </row>
    <row r="129">
      <c r="B129" s="22" t="inlineStr">
        <is>
          <t>Tax rate (from the input above)</t>
        </is>
      </c>
      <c r="D129" s="25">
        <f>$D$3</f>
        <v/>
      </c>
    </row>
    <row r="130">
      <c r="B130" s="5" t="inlineStr">
        <is>
          <t>Income statement: gain on sale</t>
        </is>
      </c>
      <c r="D130" s="18">
        <f>D128-D127</f>
        <v/>
      </c>
      <c r="F130" s="10" t="inlineStr">
        <is>
          <t>=D128-D127</t>
        </is>
      </c>
    </row>
    <row r="131">
      <c r="B131" s="5" t="inlineStr">
        <is>
          <t>Income statement: pre-tax income</t>
        </is>
      </c>
      <c r="D131" s="18">
        <f>D130</f>
        <v/>
      </c>
      <c r="F131" s="10" t="inlineStr">
        <is>
          <t>=D130</t>
        </is>
      </c>
    </row>
    <row r="132">
      <c r="B132" s="5" t="inlineStr">
        <is>
          <t>Income statement: taxes</t>
        </is>
      </c>
      <c r="D132" s="18">
        <f>-D131*D129</f>
        <v/>
      </c>
      <c r="F132" s="10" t="inlineStr">
        <is>
          <t>=-D131*D129</t>
        </is>
      </c>
    </row>
    <row r="133">
      <c r="B133" s="11" t="inlineStr">
        <is>
          <t>Income statement: net income</t>
        </is>
      </c>
      <c r="D133" s="19">
        <f>D131+D132</f>
        <v/>
      </c>
      <c r="F133" s="10" t="inlineStr">
        <is>
          <t>=D131+D132</t>
        </is>
      </c>
    </row>
    <row r="134">
      <c r="B134" s="5" t="inlineStr">
        <is>
          <t>Cash flow statement: net income</t>
        </is>
      </c>
      <c r="D134" s="18">
        <f>D133</f>
        <v/>
      </c>
      <c r="F134" s="10" t="inlineStr">
        <is>
          <t>=D133</t>
        </is>
      </c>
    </row>
    <row r="135">
      <c r="B135" s="5" t="inlineStr">
        <is>
          <t>Cash flow statement: subtract gain on sale (non-cash)</t>
        </is>
      </c>
      <c r="D135" s="18">
        <f>-D130</f>
        <v/>
      </c>
      <c r="F135" s="10" t="inlineStr">
        <is>
          <t>=-D130</t>
        </is>
      </c>
    </row>
    <row r="136">
      <c r="B136" s="11" t="inlineStr">
        <is>
          <t>Cash flow statement: cash from operations</t>
        </is>
      </c>
      <c r="D136" s="19">
        <f>D134+D135</f>
        <v/>
      </c>
      <c r="F136" s="10" t="inlineStr">
        <is>
          <t>=D134+D135</t>
        </is>
      </c>
    </row>
    <row r="137">
      <c r="B137" s="5" t="inlineStr">
        <is>
          <t>Cash flow statement: proceeds from sale of equipment (investing)</t>
        </is>
      </c>
      <c r="D137" s="18">
        <f>D128</f>
        <v/>
      </c>
      <c r="F137" s="10" t="inlineStr">
        <is>
          <t>=D128</t>
        </is>
      </c>
    </row>
    <row r="138">
      <c r="B138" s="11" t="inlineStr">
        <is>
          <t>Cash flow statement: net change in cash</t>
        </is>
      </c>
      <c r="D138" s="19">
        <f>D136+D137</f>
        <v/>
      </c>
      <c r="F138" s="10" t="inlineStr">
        <is>
          <t>=D136+D137</t>
        </is>
      </c>
    </row>
    <row r="139">
      <c r="B139" s="5" t="inlineStr">
        <is>
          <t>Balance sheet: cash</t>
        </is>
      </c>
      <c r="D139" s="18">
        <f>D138</f>
        <v/>
      </c>
      <c r="F139" s="10" t="inlineStr">
        <is>
          <t>=D138</t>
        </is>
      </c>
    </row>
    <row r="140">
      <c r="B140" s="5" t="inlineStr">
        <is>
          <t>Balance sheet: net PP&amp;E</t>
        </is>
      </c>
      <c r="D140" s="18">
        <f>-D127</f>
        <v/>
      </c>
      <c r="F140" s="10" t="inlineStr">
        <is>
          <t>=-D127</t>
        </is>
      </c>
    </row>
    <row r="141">
      <c r="B141" s="11" t="inlineStr">
        <is>
          <t>Balance sheet: total assets</t>
        </is>
      </c>
      <c r="D141" s="19">
        <f>D139+D140</f>
        <v/>
      </c>
      <c r="F141" s="10" t="inlineStr">
        <is>
          <t>=D139+D140</t>
        </is>
      </c>
    </row>
    <row r="142">
      <c r="B142" s="5" t="inlineStr">
        <is>
          <t>Balance sheet: retained earnings</t>
        </is>
      </c>
      <c r="D142" s="18">
        <f>D133</f>
        <v/>
      </c>
      <c r="F142" s="10" t="inlineStr">
        <is>
          <t>=D133</t>
        </is>
      </c>
    </row>
    <row r="143">
      <c r="B143" s="11" t="inlineStr">
        <is>
          <t>Balance sheet: total liabilities and equity</t>
        </is>
      </c>
      <c r="D143" s="19">
        <f>D142</f>
        <v/>
      </c>
      <c r="F143" s="10" t="inlineStr">
        <is>
          <t>=D142</t>
        </is>
      </c>
    </row>
    <row r="144">
      <c r="B144" s="24" t="inlineStr">
        <is>
          <t>Balance check</t>
        </is>
      </c>
      <c r="D144" s="21">
        <f>D141-D143</f>
        <v/>
      </c>
      <c r="F144" s="10" t="inlineStr">
        <is>
          <t>=D141-D143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terms:created xmlns:dcterms="http://purl.org/dc/terms/" xmlns:xsi="http://www.w3.org/2001/XMLSchema-instance" xsi:type="dcterms:W3CDTF">2026-10-05T18:09:30Z</dcterms:created>
  <dcterms:modified xmlns:dcterms="http://purl.org/dc/terms/" xmlns:xsi="http://www.w3.org/2001/XMLSchema-instance" xsi:type="dcterms:W3CDTF">2026-10-05T18:09:30Z</dcterms:modified>
  <cp:lastModifiedBy>Wall Street Guide</cp:lastModifiedBy>
</cp:coreProperties>
</file>