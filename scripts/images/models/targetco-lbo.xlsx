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O" sheetId="1" state="visible" r:id="rId1"/>
    <sheet xmlns:r="http://schemas.openxmlformats.org/officeDocument/2006/relationships" name="Paper LBO" sheetId="2" state="visible" r:id="rId2"/>
  </sheets>
  <definedNames>
    <definedName name="Circ">LBO!$D$20</definedName>
  </definedNames>
  <calcPr calcId="124519" fullCalcOnLoad="1" iterate="1" iterateCount="100" iterateDelta="1e-05"/>
</workbook>
</file>

<file path=xl/styles.xml><?xml version="1.0" encoding="utf-8"?>
<styleSheet xmlns="http://schemas.openxmlformats.org/spreadsheetml/2006/main">
  <numFmts count="8">
    <numFmt numFmtId="164" formatCode="#,##0.0;(#,##0.0);0.0"/>
    <numFmt numFmtId="165" formatCode="0.0%;(0.0%);&quot;-&quot;"/>
    <numFmt numFmtId="166" formatCode="0.0&quot;x&quot;"/>
    <numFmt numFmtId="167" formatCode="#,##0;(#,##0);&quot;-&quot;"/>
    <numFmt numFmtId="168" formatCode="&quot;Year &quot;0"/>
    <numFmt numFmtId="169" formatCode="&quot;Year &quot;0&quot; (LTM)&quot;"/>
    <numFmt numFmtId="170" formatCode="0.00&quot;x&quot;"/>
    <numFmt numFmtId="171" formatCode="#,##0;(#,##0);0"/>
  </numFmts>
  <fonts count="11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000000"/>
      <sz val="12"/>
    </font>
    <font>
      <name val="Arial"/>
      <i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i val="1"/>
      <color rgb="0052514E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FF9E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6" fillId="3" borderId="0" pivotButton="0" quotePrefix="0" xfId="0"/>
    <xf numFmtId="165" fontId="5" fillId="0" borderId="0" pivotButton="0" quotePrefix="0" xfId="0"/>
    <xf numFmtId="166" fontId="6" fillId="3" borderId="0" pivotButton="0" quotePrefix="0" xfId="0"/>
    <xf numFmtId="164" fontId="5" fillId="0" borderId="0" pivotButton="0" quotePrefix="0" xfId="0"/>
    <xf numFmtId="167" fontId="6" fillId="3" borderId="0" pivotButton="0" quotePrefix="0" xfId="0"/>
    <xf numFmtId="168" fontId="6" fillId="3" borderId="0" pivotButton="0" quotePrefix="0" xfId="0"/>
    <xf numFmtId="1" fontId="6" fillId="3" borderId="0" pivotButton="0" quotePrefix="0" xfId="0"/>
    <xf numFmtId="0" fontId="7" fillId="0" borderId="1" applyAlignment="1" pivotButton="0" quotePrefix="0" xfId="0">
      <alignment horizontal="right"/>
    </xf>
    <xf numFmtId="165" fontId="6" fillId="3" borderId="0" pivotButton="0" quotePrefix="0" xfId="0"/>
    <xf numFmtId="9" fontId="6" fillId="3" borderId="0" pivotButton="0" quotePrefix="0" xfId="0"/>
    <xf numFmtId="0" fontId="7" fillId="0" borderId="2" pivotButton="0" quotePrefix="0" xfId="0"/>
    <xf numFmtId="166" fontId="7" fillId="0" borderId="2" pivotButton="0" quotePrefix="0" xfId="0"/>
    <xf numFmtId="164" fontId="7" fillId="0" borderId="2" pivotButton="0" quotePrefix="0" xfId="0"/>
    <xf numFmtId="0" fontId="7" fillId="0" borderId="1" pivotButton="0" quotePrefix="0" xfId="0"/>
    <xf numFmtId="0" fontId="5" fillId="0" borderId="1" pivotButton="0" quotePrefix="0" xfId="0"/>
    <xf numFmtId="166" fontId="5" fillId="0" borderId="0" pivotButton="0" quotePrefix="0" xfId="0"/>
    <xf numFmtId="169" fontId="8" fillId="0" borderId="1" applyAlignment="1" pivotButton="0" quotePrefix="0" xfId="0">
      <alignment horizontal="right"/>
    </xf>
    <xf numFmtId="168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7" fillId="0" borderId="0" pivotButton="0" quotePrefix="0" xfId="0"/>
    <xf numFmtId="0" fontId="5" fillId="0" borderId="0" applyAlignment="1" pivotButton="0" quotePrefix="0" xfId="0">
      <alignment indent="1"/>
    </xf>
    <xf numFmtId="0" fontId="9" fillId="0" borderId="0" pivotButton="0" quotePrefix="0" xfId="0"/>
    <xf numFmtId="0" fontId="3" fillId="0" borderId="0" applyAlignment="1" pivotButton="0" quotePrefix="0" xfId="0">
      <alignment indent="1"/>
    </xf>
    <xf numFmtId="1" fontId="3" fillId="0" borderId="0" pivotButton="0" quotePrefix="0" xfId="0"/>
    <xf numFmtId="170" fontId="5" fillId="0" borderId="0" pivotButton="0" quotePrefix="0" xfId="0"/>
    <xf numFmtId="168" fontId="5" fillId="0" borderId="0" pivotButton="0" quotePrefix="0" xfId="0"/>
    <xf numFmtId="170" fontId="7" fillId="0" borderId="0" pivotButton="0" quotePrefix="0" xfId="0"/>
    <xf numFmtId="165" fontId="7" fillId="0" borderId="0" pivotButton="0" quotePrefix="0" xfId="0"/>
    <xf numFmtId="165" fontId="3" fillId="0" borderId="0" pivotButton="0" quotePrefix="0" xfId="0"/>
    <xf numFmtId="165" fontId="7" fillId="0" borderId="1" pivotButton="0" quotePrefix="0" xfId="0"/>
    <xf numFmtId="166" fontId="10" fillId="3" borderId="1" pivotButton="0" quotePrefix="0" xfId="0"/>
    <xf numFmtId="166" fontId="10" fillId="3" borderId="0" pivotButton="0" quotePrefix="0" xfId="0"/>
    <xf numFmtId="165" fontId="7" fillId="4" borderId="0" pivotButton="0" quotePrefix="0" xfId="0"/>
    <xf numFmtId="168" fontId="10" fillId="3" borderId="1" pivotButton="0" quotePrefix="0" xfId="0"/>
    <xf numFmtId="171" fontId="6" fillId="3" borderId="0" pivotButton="0" quotePrefix="0" xfId="0"/>
    <xf numFmtId="171" fontId="5" fillId="0" borderId="0" pivotButton="0" quotePrefix="0" xfId="0"/>
    <xf numFmtId="171" fontId="7" fillId="0" borderId="2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4" customWidth="1" min="2" max="2"/>
    <col width="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2" customWidth="1" min="10" max="10"/>
  </cols>
  <sheetData>
    <row r="2">
      <c r="B2" s="1" t="inlineStr">
        <is>
          <t>TargetCo LBO model</t>
        </is>
      </c>
    </row>
    <row r="3">
      <c r="B3" s="2" t="inlineStr">
        <is>
          <t>$ in millions, fiscal year ending December 31. Blue on yellow = typed input, black = formula.</t>
        </is>
      </c>
    </row>
    <row r="5">
      <c r="B5" s="3" t="inlineStr">
        <is>
          <t>TRANSACTION ASSUMPTIONS</t>
        </is>
      </c>
      <c r="C5" s="3" t="n"/>
      <c r="D5" s="3" t="n"/>
      <c r="E5" s="3" t="n"/>
      <c r="F5" s="3" t="n"/>
      <c r="G5" s="3" t="n"/>
      <c r="H5" s="3" t="n"/>
      <c r="I5" s="3" t="n"/>
    </row>
    <row r="6">
      <c r="B6" s="4" t="inlineStr">
        <is>
          <t>LTM EBITDA</t>
        </is>
      </c>
      <c r="D6" s="5" t="n">
        <v>100</v>
      </c>
    </row>
    <row r="7">
      <c r="B7" s="4" t="inlineStr">
        <is>
          <t>LTM revenue</t>
        </is>
      </c>
      <c r="D7" s="5" t="n">
        <v>500</v>
      </c>
    </row>
    <row r="8">
      <c r="B8" s="4" t="inlineStr">
        <is>
          <t>LTM EBITDA margin</t>
        </is>
      </c>
      <c r="D8" s="6">
        <f>D6/D7</f>
        <v/>
      </c>
    </row>
    <row r="9">
      <c r="B9" s="4" t="inlineStr">
        <is>
          <t>Entry multiple (x LTM EBITDA)</t>
        </is>
      </c>
      <c r="D9" s="7" t="n">
        <v>10</v>
      </c>
    </row>
    <row r="10">
      <c r="B10" s="4" t="inlineStr">
        <is>
          <t>Enterprise value</t>
        </is>
      </c>
      <c r="D10" s="8">
        <f>D6*D9</f>
        <v/>
      </c>
    </row>
    <row r="11">
      <c r="B11" s="4" t="inlineStr">
        <is>
          <t>Existing debt (repaid at close)</t>
        </is>
      </c>
      <c r="D11" s="5" t="n">
        <v>150</v>
      </c>
    </row>
    <row r="12">
      <c r="B12" s="4" t="inlineStr">
        <is>
          <t>Existing excess cash (cash-free, debt-free deal)</t>
        </is>
      </c>
      <c r="D12" s="5" t="n">
        <v>0</v>
      </c>
    </row>
    <row r="13">
      <c r="B13" s="4" t="inlineStr">
        <is>
          <t>Equity purchase price (EV less net debt)</t>
        </is>
      </c>
      <c r="D13" s="8">
        <f>D10-D11+D12</f>
        <v/>
      </c>
    </row>
    <row r="14">
      <c r="B14" s="4" t="inlineStr">
        <is>
          <t>Transaction fees (advisory, legal), expensed at close</t>
        </is>
      </c>
      <c r="D14" s="5" t="n">
        <v>20</v>
      </c>
    </row>
    <row r="15">
      <c r="B15" s="4" t="inlineStr">
        <is>
          <t>Financing fees, capitalized and amortized</t>
        </is>
      </c>
      <c r="D15" s="5" t="n">
        <v>10</v>
      </c>
    </row>
    <row r="16">
      <c r="B16" s="4" t="inlineStr">
        <is>
          <t>Financing fee amortization period (years)</t>
        </is>
      </c>
      <c r="D16" s="9" t="n">
        <v>5</v>
      </c>
    </row>
    <row r="17">
      <c r="B17" s="4" t="inlineStr">
        <is>
          <t>Minimum cash funded at close</t>
        </is>
      </c>
      <c r="D17" s="5" t="n">
        <v>20</v>
      </c>
    </row>
    <row r="18">
      <c r="B18" s="4" t="inlineStr">
        <is>
          <t>Exit multiple (x EBITDA)</t>
        </is>
      </c>
      <c r="D18" s="7" t="n">
        <v>10</v>
      </c>
    </row>
    <row r="19">
      <c r="B19" s="4" t="inlineStr">
        <is>
          <t>Exit year</t>
        </is>
      </c>
      <c r="D19" s="10" t="n">
        <v>5</v>
      </c>
    </row>
    <row r="20">
      <c r="B20" s="4" t="inlineStr">
        <is>
          <t>Circ toggle (1 = average balance interest, 0 = beginning)</t>
        </is>
      </c>
      <c r="D20" s="11" t="n">
        <v>0</v>
      </c>
    </row>
    <row r="22">
      <c r="B22" s="3" t="inlineStr">
        <is>
          <t>DEBT TERMS</t>
        </is>
      </c>
      <c r="C22" s="3" t="n"/>
      <c r="D22" s="3" t="n"/>
      <c r="E22" s="3" t="n"/>
      <c r="F22" s="3" t="n"/>
      <c r="G22" s="3" t="n"/>
      <c r="H22" s="3" t="n"/>
      <c r="I22" s="3" t="n"/>
    </row>
    <row r="23">
      <c r="D23" s="12" t="inlineStr">
        <is>
          <t>x EBITDA</t>
        </is>
      </c>
      <c r="E23" s="12" t="inlineStr">
        <is>
          <t>$ amount</t>
        </is>
      </c>
      <c r="F23" s="12" t="inlineStr">
        <is>
          <t>Rate</t>
        </is>
      </c>
      <c r="G23" s="12" t="inlineStr">
        <is>
          <t>Amort. a year</t>
        </is>
      </c>
      <c r="H23" s="12" t="inlineStr">
        <is>
          <t>Cash sweep</t>
        </is>
      </c>
    </row>
    <row r="24">
      <c r="B24" s="4" t="inlineStr">
        <is>
          <t>Term Loan B (seven year, floating rate)</t>
        </is>
      </c>
      <c r="D24" s="7" t="n">
        <v>4.5</v>
      </c>
      <c r="E24" s="8">
        <f>D24*$D$6</f>
        <v/>
      </c>
      <c r="F24" s="13" t="n">
        <v>0.08</v>
      </c>
      <c r="G24" s="13" t="n">
        <v>0.01</v>
      </c>
      <c r="H24" s="14" t="n">
        <v>1</v>
      </c>
    </row>
    <row r="25">
      <c r="B25" s="4" t="inlineStr">
        <is>
          <t>Senior notes (fixed, bullet at maturity, no prepayment)</t>
        </is>
      </c>
      <c r="D25" s="7" t="n">
        <v>1.5</v>
      </c>
      <c r="E25" s="8">
        <f>D25*$D$6</f>
        <v/>
      </c>
      <c r="F25" s="13" t="n">
        <v>0.09</v>
      </c>
      <c r="G25" s="13" t="n">
        <v>0</v>
      </c>
      <c r="H25" s="14" t="n">
        <v>0</v>
      </c>
    </row>
    <row r="26">
      <c r="B26" s="4" t="inlineStr">
        <is>
          <t>Revolver commitment (undrawn at close)</t>
        </is>
      </c>
      <c r="E26" s="5" t="n">
        <v>75</v>
      </c>
    </row>
    <row r="27">
      <c r="B27" s="15" t="inlineStr">
        <is>
          <t>Total debt at close</t>
        </is>
      </c>
      <c r="D27" s="16">
        <f>D24+D25</f>
        <v/>
      </c>
      <c r="E27" s="17">
        <f>E24+E25</f>
        <v/>
      </c>
    </row>
    <row r="29">
      <c r="B29" s="3" t="inlineStr">
        <is>
          <t>OPERATING ASSUMPTIONS</t>
        </is>
      </c>
      <c r="C29" s="3" t="n"/>
      <c r="D29" s="3" t="n"/>
      <c r="E29" s="3" t="n"/>
      <c r="F29" s="3" t="n"/>
      <c r="G29" s="3" t="n"/>
      <c r="H29" s="3" t="n"/>
      <c r="I29" s="3" t="n"/>
    </row>
    <row r="30">
      <c r="B30" s="4" t="inlineStr">
        <is>
          <t>Revenue growth a year</t>
        </is>
      </c>
      <c r="D30" s="13" t="n">
        <v>0.06</v>
      </c>
    </row>
    <row r="31">
      <c r="B31" s="4" t="inlineStr">
        <is>
          <t>EBITDA margin step a year (percentage points)</t>
        </is>
      </c>
      <c r="D31" s="13" t="n">
        <v>0.005</v>
      </c>
    </row>
    <row r="32">
      <c r="B32" s="4" t="inlineStr">
        <is>
          <t>D&amp;A, % of revenue</t>
        </is>
      </c>
      <c r="D32" s="13" t="n">
        <v>0.03</v>
      </c>
    </row>
    <row r="33">
      <c r="B33" s="4" t="inlineStr">
        <is>
          <t>Capex, % of revenue</t>
        </is>
      </c>
      <c r="D33" s="13" t="n">
        <v>0.03</v>
      </c>
    </row>
    <row r="34">
      <c r="B34" s="4" t="inlineStr">
        <is>
          <t>Net working capital, % of revenue</t>
        </is>
      </c>
      <c r="D34" s="13" t="n">
        <v>0.1</v>
      </c>
    </row>
    <row r="35">
      <c r="B35" s="4" t="inlineStr">
        <is>
          <t>Tax rate</t>
        </is>
      </c>
      <c r="D35" s="13" t="n">
        <v>0.25</v>
      </c>
    </row>
    <row r="37">
      <c r="B37" s="3" t="inlineStr">
        <is>
          <t>SOURCES AND USES</t>
        </is>
      </c>
      <c r="C37" s="3" t="n"/>
      <c r="D37" s="3" t="n"/>
      <c r="E37" s="3" t="n"/>
      <c r="F37" s="3" t="n"/>
      <c r="G37" s="3" t="n"/>
      <c r="H37" s="3" t="n"/>
      <c r="I37" s="3" t="n"/>
    </row>
    <row r="38">
      <c r="B38" s="18" t="inlineStr">
        <is>
          <t>Uses</t>
        </is>
      </c>
      <c r="D38" s="12" t="inlineStr">
        <is>
          <t>$ millions</t>
        </is>
      </c>
      <c r="F38" s="18" t="inlineStr">
        <is>
          <t>Sources</t>
        </is>
      </c>
      <c r="G38" s="19" t="inlineStr"/>
      <c r="H38" s="12" t="inlineStr">
        <is>
          <t>x EBITDA</t>
        </is>
      </c>
      <c r="I38" s="12" t="inlineStr">
        <is>
          <t>$ millions</t>
        </is>
      </c>
    </row>
    <row r="39">
      <c r="B39" s="4" t="inlineStr">
        <is>
          <t>Purchase of equity (EV less net debt)</t>
        </is>
      </c>
      <c r="D39" s="8">
        <f>D13</f>
        <v/>
      </c>
      <c r="F39" s="4" t="inlineStr">
        <is>
          <t>Revolver (undrawn at close)</t>
        </is>
      </c>
      <c r="I39" s="5" t="n">
        <v>0</v>
      </c>
    </row>
    <row r="40">
      <c r="B40" s="4" t="inlineStr">
        <is>
          <t>Repay existing debt</t>
        </is>
      </c>
      <c r="D40" s="8">
        <f>D11</f>
        <v/>
      </c>
      <c r="F40" s="4" t="inlineStr">
        <is>
          <t>Term Loan B</t>
        </is>
      </c>
      <c r="H40" s="20">
        <f>I40/$D$6</f>
        <v/>
      </c>
      <c r="I40" s="8">
        <f>E24</f>
        <v/>
      </c>
    </row>
    <row r="41">
      <c r="B41" s="4" t="inlineStr">
        <is>
          <t>Transaction fees</t>
        </is>
      </c>
      <c r="D41" s="8">
        <f>D14</f>
        <v/>
      </c>
      <c r="F41" s="4" t="inlineStr">
        <is>
          <t>Senior notes</t>
        </is>
      </c>
      <c r="H41" s="20">
        <f>I41/$D$6</f>
        <v/>
      </c>
      <c r="I41" s="8">
        <f>E25</f>
        <v/>
      </c>
    </row>
    <row r="42">
      <c r="B42" s="4" t="inlineStr">
        <is>
          <t>Financing fees</t>
        </is>
      </c>
      <c r="D42" s="8">
        <f>D15</f>
        <v/>
      </c>
      <c r="F42" s="4" t="inlineStr">
        <is>
          <t>Sponsor equity (plug)</t>
        </is>
      </c>
      <c r="I42" s="8">
        <f>D44-SUM(I39:I41)</f>
        <v/>
      </c>
    </row>
    <row r="43">
      <c r="B43" s="4" t="inlineStr">
        <is>
          <t>Cash to balance sheet</t>
        </is>
      </c>
      <c r="D43" s="8">
        <f>D17</f>
        <v/>
      </c>
    </row>
    <row r="44">
      <c r="B44" s="15" t="inlineStr">
        <is>
          <t>Total uses</t>
        </is>
      </c>
      <c r="D44" s="17">
        <f>SUM(D39:D43)</f>
        <v/>
      </c>
      <c r="F44" s="15" t="inlineStr">
        <is>
          <t>Total sources</t>
        </is>
      </c>
      <c r="G44" s="15" t="inlineStr"/>
      <c r="H44" s="15" t="inlineStr"/>
      <c r="I44" s="17">
        <f>SUM(I39:I42)</f>
        <v/>
      </c>
    </row>
    <row r="45">
      <c r="B45" s="2" t="inlineStr">
        <is>
          <t>Check: sources less uses (should read 0.0)</t>
        </is>
      </c>
      <c r="D45" s="8">
        <f>I44-D44</f>
        <v/>
      </c>
      <c r="F45" s="2" t="inlineStr">
        <is>
          <t>Sponsor equity, % of total sources</t>
        </is>
      </c>
      <c r="I45" s="6">
        <f>I42/I44</f>
        <v/>
      </c>
    </row>
    <row r="46">
      <c r="B46" s="2" t="inlineStr">
        <is>
          <t>Total debt / LTM EBITDA</t>
        </is>
      </c>
      <c r="D46" s="20">
        <f>(I39+I40+I41)/D6</f>
        <v/>
      </c>
    </row>
    <row r="48">
      <c r="B48" s="3" t="inlineStr">
        <is>
          <t>OPERATING MODEL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D49" s="21" t="n">
        <v>0</v>
      </c>
      <c r="E49" s="22" t="n">
        <v>1</v>
      </c>
      <c r="F49" s="22" t="n">
        <v>2</v>
      </c>
      <c r="G49" s="22" t="n">
        <v>3</v>
      </c>
      <c r="H49" s="22" t="n">
        <v>4</v>
      </c>
      <c r="I49" s="22" t="n">
        <v>5</v>
      </c>
    </row>
    <row r="50">
      <c r="B50" s="4" t="inlineStr">
        <is>
          <t>Revenue</t>
        </is>
      </c>
      <c r="D50" s="8">
        <f>D7</f>
        <v/>
      </c>
      <c r="E50" s="8">
        <f>D50*(1+$D$30)</f>
        <v/>
      </c>
      <c r="F50" s="8">
        <f>E50*(1+$D$30)</f>
        <v/>
      </c>
      <c r="G50" s="8">
        <f>F50*(1+$D$30)</f>
        <v/>
      </c>
      <c r="H50" s="8">
        <f>G50*(1+$D$30)</f>
        <v/>
      </c>
      <c r="I50" s="8">
        <f>H50*(1+$D$30)</f>
        <v/>
      </c>
    </row>
    <row r="51">
      <c r="B51" s="2" t="inlineStr">
        <is>
          <t>Revenue growth</t>
        </is>
      </c>
      <c r="E51" s="6">
        <f>E50/D50-1</f>
        <v/>
      </c>
      <c r="F51" s="6">
        <f>F50/E50-1</f>
        <v/>
      </c>
      <c r="G51" s="6">
        <f>G50/F50-1</f>
        <v/>
      </c>
      <c r="H51" s="6">
        <f>H50/G50-1</f>
        <v/>
      </c>
      <c r="I51" s="6">
        <f>I50/H50-1</f>
        <v/>
      </c>
    </row>
    <row r="52">
      <c r="B52" s="2" t="inlineStr">
        <is>
          <t>EBITDA margin</t>
        </is>
      </c>
      <c r="D52" s="6">
        <f>D8</f>
        <v/>
      </c>
      <c r="E52" s="6">
        <f>D52+$D$31</f>
        <v/>
      </c>
      <c r="F52" s="6">
        <f>E52+$D$31</f>
        <v/>
      </c>
      <c r="G52" s="6">
        <f>F52+$D$31</f>
        <v/>
      </c>
      <c r="H52" s="6">
        <f>G52+$D$31</f>
        <v/>
      </c>
      <c r="I52" s="6">
        <f>H52+$D$31</f>
        <v/>
      </c>
    </row>
    <row r="53">
      <c r="B53" s="4" t="inlineStr">
        <is>
          <t>EBITDA</t>
        </is>
      </c>
      <c r="D53" s="17">
        <f>D50*D52</f>
        <v/>
      </c>
      <c r="E53" s="17">
        <f>E50*E52</f>
        <v/>
      </c>
      <c r="F53" s="17">
        <f>F50*F52</f>
        <v/>
      </c>
      <c r="G53" s="17">
        <f>G50*G52</f>
        <v/>
      </c>
      <c r="H53" s="17">
        <f>H50*H52</f>
        <v/>
      </c>
      <c r="I53" s="17">
        <f>I50*I52</f>
        <v/>
      </c>
    </row>
    <row r="54">
      <c r="B54" s="4" t="inlineStr">
        <is>
          <t>Less: D&amp;A (3% of revenue)</t>
        </is>
      </c>
      <c r="D54" s="8">
        <f>-D50*$D$32</f>
        <v/>
      </c>
      <c r="E54" s="8">
        <f>-E50*$D$32</f>
        <v/>
      </c>
      <c r="F54" s="8">
        <f>-F50*$D$32</f>
        <v/>
      </c>
      <c r="G54" s="8">
        <f>-G50*$D$32</f>
        <v/>
      </c>
      <c r="H54" s="8">
        <f>-H50*$D$32</f>
        <v/>
      </c>
      <c r="I54" s="8">
        <f>-I50*$D$32</f>
        <v/>
      </c>
    </row>
    <row r="55">
      <c r="B55" s="4" t="inlineStr">
        <is>
          <t>EBIT</t>
        </is>
      </c>
      <c r="D55" s="17">
        <f>D53+D54</f>
        <v/>
      </c>
      <c r="E55" s="17">
        <f>E53+E54</f>
        <v/>
      </c>
      <c r="F55" s="17">
        <f>F53+F54</f>
        <v/>
      </c>
      <c r="G55" s="17">
        <f>G53+G54</f>
        <v/>
      </c>
      <c r="H55" s="17">
        <f>H53+H54</f>
        <v/>
      </c>
      <c r="I55" s="17">
        <f>I53+I54</f>
        <v/>
      </c>
    </row>
    <row r="56">
      <c r="B56" s="4" t="inlineStr">
        <is>
          <t>Less: Term Loan B interest (8% on beginning balance)</t>
        </is>
      </c>
      <c r="E56" s="8">
        <f>-E87</f>
        <v/>
      </c>
      <c r="F56" s="8">
        <f>-F87</f>
        <v/>
      </c>
      <c r="G56" s="8">
        <f>-G87</f>
        <v/>
      </c>
      <c r="H56" s="8">
        <f>-H87</f>
        <v/>
      </c>
      <c r="I56" s="8">
        <f>-I87</f>
        <v/>
      </c>
    </row>
    <row r="57">
      <c r="B57" s="4" t="inlineStr">
        <is>
          <t>Less: Senior notes interest (9% on $150.0)</t>
        </is>
      </c>
      <c r="E57" s="8">
        <f>-E98</f>
        <v/>
      </c>
      <c r="F57" s="8">
        <f>-F98</f>
        <v/>
      </c>
      <c r="G57" s="8">
        <f>-G98</f>
        <v/>
      </c>
      <c r="H57" s="8">
        <f>-H98</f>
        <v/>
      </c>
      <c r="I57" s="8">
        <f>-I98</f>
        <v/>
      </c>
    </row>
    <row r="58">
      <c r="B58" s="4" t="inlineStr">
        <is>
          <t>Less: Financing fee amortization ($10.0 over 5 years)</t>
        </is>
      </c>
      <c r="E58" s="8">
        <f>-IF(E$49&lt;=$D$16,$D$15/$D$16,0)</f>
        <v/>
      </c>
      <c r="F58" s="8">
        <f>-IF(F$49&lt;=$D$16,$D$15/$D$16,0)</f>
        <v/>
      </c>
      <c r="G58" s="8">
        <f>-IF(G$49&lt;=$D$16,$D$15/$D$16,0)</f>
        <v/>
      </c>
      <c r="H58" s="8">
        <f>-IF(H$49&lt;=$D$16,$D$15/$D$16,0)</f>
        <v/>
      </c>
      <c r="I58" s="8">
        <f>-IF(I$49&lt;=$D$16,$D$15/$D$16,0)</f>
        <v/>
      </c>
    </row>
    <row r="59">
      <c r="B59" s="4" t="inlineStr">
        <is>
          <t>Pre-tax income</t>
        </is>
      </c>
      <c r="E59" s="17">
        <f>E55+E56+E57+E58</f>
        <v/>
      </c>
      <c r="F59" s="17">
        <f>F55+F56+F57+F58</f>
        <v/>
      </c>
      <c r="G59" s="17">
        <f>G55+G56+G57+G58</f>
        <v/>
      </c>
      <c r="H59" s="17">
        <f>H55+H56+H57+H58</f>
        <v/>
      </c>
      <c r="I59" s="17">
        <f>I55+I56+I57+I58</f>
        <v/>
      </c>
    </row>
    <row r="60">
      <c r="B60" s="4" t="inlineStr">
        <is>
          <t>Less: Taxes (25%, never below zero)</t>
        </is>
      </c>
      <c r="E60" s="8">
        <f>-MAX(0,E59*$D$35)</f>
        <v/>
      </c>
      <c r="F60" s="8">
        <f>-MAX(0,F59*$D$35)</f>
        <v/>
      </c>
      <c r="G60" s="8">
        <f>-MAX(0,G59*$D$35)</f>
        <v/>
      </c>
      <c r="H60" s="8">
        <f>-MAX(0,H59*$D$35)</f>
        <v/>
      </c>
      <c r="I60" s="8">
        <f>-MAX(0,I59*$D$35)</f>
        <v/>
      </c>
    </row>
    <row r="61">
      <c r="B61" s="4" t="inlineStr">
        <is>
          <t>Net income</t>
        </is>
      </c>
      <c r="E61" s="17">
        <f>E59+E60</f>
        <v/>
      </c>
      <c r="F61" s="17">
        <f>F59+F60</f>
        <v/>
      </c>
      <c r="G61" s="17">
        <f>G59+G60</f>
        <v/>
      </c>
      <c r="H61" s="17">
        <f>H59+H60</f>
        <v/>
      </c>
      <c r="I61" s="17">
        <f>I59+I60</f>
        <v/>
      </c>
    </row>
    <row r="63">
      <c r="B63" s="3" t="inlineStr">
        <is>
          <t>CASH FLOW TO DEBT PAYDOWN</t>
        </is>
      </c>
      <c r="C63" s="3" t="n"/>
      <c r="D63" s="3" t="n"/>
      <c r="E63" s="3" t="n"/>
      <c r="F63" s="3" t="n"/>
      <c r="G63" s="3" t="n"/>
      <c r="H63" s="3" t="n"/>
      <c r="I63" s="3" t="n"/>
    </row>
    <row r="64">
      <c r="D64" s="23" t="inlineStr">
        <is>
          <t>Close</t>
        </is>
      </c>
      <c r="E64" s="22" t="n">
        <v>1</v>
      </c>
      <c r="F64" s="22" t="n">
        <v>2</v>
      </c>
      <c r="G64" s="22" t="n">
        <v>3</v>
      </c>
      <c r="H64" s="22" t="n">
        <v>4</v>
      </c>
      <c r="I64" s="22" t="n">
        <v>5</v>
      </c>
    </row>
    <row r="65">
      <c r="B65" s="4" t="inlineStr">
        <is>
          <t>Net income</t>
        </is>
      </c>
      <c r="E65" s="8">
        <f>E61</f>
        <v/>
      </c>
      <c r="F65" s="8">
        <f>F61</f>
        <v/>
      </c>
      <c r="G65" s="8">
        <f>G61</f>
        <v/>
      </c>
      <c r="H65" s="8">
        <f>H61</f>
        <v/>
      </c>
      <c r="I65" s="8">
        <f>I61</f>
        <v/>
      </c>
    </row>
    <row r="66">
      <c r="B66" s="4" t="inlineStr">
        <is>
          <t>Plus: D&amp;A</t>
        </is>
      </c>
      <c r="E66" s="8">
        <f>-E54</f>
        <v/>
      </c>
      <c r="F66" s="8">
        <f>-F54</f>
        <v/>
      </c>
      <c r="G66" s="8">
        <f>-G54</f>
        <v/>
      </c>
      <c r="H66" s="8">
        <f>-H54</f>
        <v/>
      </c>
      <c r="I66" s="8">
        <f>-I54</f>
        <v/>
      </c>
    </row>
    <row r="67">
      <c r="B67" s="4" t="inlineStr">
        <is>
          <t>Plus: Financing fee amortization (non-cash)</t>
        </is>
      </c>
      <c r="E67" s="8">
        <f>-E58</f>
        <v/>
      </c>
      <c r="F67" s="8">
        <f>-F58</f>
        <v/>
      </c>
      <c r="G67" s="8">
        <f>-G58</f>
        <v/>
      </c>
      <c r="H67" s="8">
        <f>-H58</f>
        <v/>
      </c>
      <c r="I67" s="8">
        <f>-I58</f>
        <v/>
      </c>
    </row>
    <row r="68">
      <c r="B68" s="4" t="inlineStr">
        <is>
          <t>Less: Capex (3% of revenue)</t>
        </is>
      </c>
      <c r="E68" s="8">
        <f>-E50*$D$33</f>
        <v/>
      </c>
      <c r="F68" s="8">
        <f>-F50*$D$33</f>
        <v/>
      </c>
      <c r="G68" s="8">
        <f>-G50*$D$33</f>
        <v/>
      </c>
      <c r="H68" s="8">
        <f>-H50*$D$33</f>
        <v/>
      </c>
      <c r="I68" s="8">
        <f>-I50*$D$33</f>
        <v/>
      </c>
    </row>
    <row r="69">
      <c r="B69" s="4" t="inlineStr">
        <is>
          <t>Less: Increase in net working capital (10% of revenue growth)</t>
        </is>
      </c>
      <c r="E69" s="8">
        <f>-(E50-D50)*$D$34</f>
        <v/>
      </c>
      <c r="F69" s="8">
        <f>-(F50-E50)*$D$34</f>
        <v/>
      </c>
      <c r="G69" s="8">
        <f>-(G50-F50)*$D$34</f>
        <v/>
      </c>
      <c r="H69" s="8">
        <f>-(H50-G50)*$D$34</f>
        <v/>
      </c>
      <c r="I69" s="8">
        <f>-(I50-H50)*$D$34</f>
        <v/>
      </c>
    </row>
    <row r="70">
      <c r="B70" s="4" t="inlineStr">
        <is>
          <t>Cash available for debt repayment</t>
        </is>
      </c>
      <c r="E70" s="17">
        <f>SUM(E65:E69)</f>
        <v/>
      </c>
      <c r="F70" s="17">
        <f>SUM(F65:F69)</f>
        <v/>
      </c>
      <c r="G70" s="17">
        <f>SUM(G65:G69)</f>
        <v/>
      </c>
      <c r="H70" s="17">
        <f>SUM(H65:H69)</f>
        <v/>
      </c>
      <c r="I70" s="17">
        <f>SUM(I65:I69)</f>
        <v/>
      </c>
    </row>
    <row r="71">
      <c r="B71" s="4" t="inlineStr">
        <is>
          <t>Less: Mandatory Term Loan B amortization (1% of $450.0)</t>
        </is>
      </c>
      <c r="E71" s="8">
        <f>E83</f>
        <v/>
      </c>
      <c r="F71" s="8">
        <f>F83</f>
        <v/>
      </c>
      <c r="G71" s="8">
        <f>G83</f>
        <v/>
      </c>
      <c r="H71" s="8">
        <f>H83</f>
        <v/>
      </c>
      <c r="I71" s="8">
        <f>I83</f>
        <v/>
      </c>
    </row>
    <row r="72">
      <c r="B72" s="4" t="inlineStr">
        <is>
          <t>Less: Cash sweep to Term Loan B</t>
        </is>
      </c>
      <c r="E72" s="8">
        <f>E85</f>
        <v/>
      </c>
      <c r="F72" s="8">
        <f>F85</f>
        <v/>
      </c>
      <c r="G72" s="8">
        <f>G85</f>
        <v/>
      </c>
      <c r="H72" s="8">
        <f>H85</f>
        <v/>
      </c>
      <c r="I72" s="8">
        <f>I85</f>
        <v/>
      </c>
    </row>
    <row r="73">
      <c r="B73" s="4" t="inlineStr">
        <is>
          <t>Plus: Revolver draw / (repayment)</t>
        </is>
      </c>
      <c r="E73" s="8">
        <f>E102+E103</f>
        <v/>
      </c>
      <c r="F73" s="8">
        <f>F102+F103</f>
        <v/>
      </c>
      <c r="G73" s="8">
        <f>G102+G103</f>
        <v/>
      </c>
      <c r="H73" s="8">
        <f>H102+H103</f>
        <v/>
      </c>
      <c r="I73" s="8">
        <f>I102+I103</f>
        <v/>
      </c>
    </row>
    <row r="74">
      <c r="B74" s="4" t="inlineStr">
        <is>
          <t>Change in cash</t>
        </is>
      </c>
      <c r="E74" s="17">
        <f>SUM(E70:E73)</f>
        <v/>
      </c>
      <c r="F74" s="17">
        <f>SUM(F70:F73)</f>
        <v/>
      </c>
      <c r="G74" s="17">
        <f>SUM(G70:G73)</f>
        <v/>
      </c>
      <c r="H74" s="17">
        <f>SUM(H70:H73)</f>
        <v/>
      </c>
      <c r="I74" s="17">
        <f>SUM(I70:I73)</f>
        <v/>
      </c>
    </row>
    <row r="75">
      <c r="B75" s="4" t="inlineStr">
        <is>
          <t>Beginning cash</t>
        </is>
      </c>
      <c r="E75" s="8">
        <f>D76</f>
        <v/>
      </c>
      <c r="F75" s="8">
        <f>E76</f>
        <v/>
      </c>
      <c r="G75" s="8">
        <f>F76</f>
        <v/>
      </c>
      <c r="H75" s="8">
        <f>G76</f>
        <v/>
      </c>
      <c r="I75" s="8">
        <f>H76</f>
        <v/>
      </c>
    </row>
    <row r="76">
      <c r="B76" s="4" t="inlineStr">
        <is>
          <t>Ending cash (minimum cash $20.0)</t>
        </is>
      </c>
      <c r="D76" s="17">
        <f>D17</f>
        <v/>
      </c>
      <c r="E76" s="17">
        <f>E75+E74</f>
        <v/>
      </c>
      <c r="F76" s="17">
        <f>F75+F74</f>
        <v/>
      </c>
      <c r="G76" s="17">
        <f>G75+G74</f>
        <v/>
      </c>
      <c r="H76" s="17">
        <f>H75+H74</f>
        <v/>
      </c>
      <c r="I76" s="17">
        <f>I75+I74</f>
        <v/>
      </c>
    </row>
    <row r="77">
      <c r="B77" s="2" t="inlineStr">
        <is>
          <t>Check: cash at or above the minimum</t>
        </is>
      </c>
      <c r="E77" s="24">
        <f>IF(E76&gt;=$D$17-0.001,"OK","SHORT")</f>
        <v/>
      </c>
      <c r="F77" s="24">
        <f>IF(F76&gt;=$D$17-0.001,"OK","SHORT")</f>
        <v/>
      </c>
      <c r="G77" s="24">
        <f>IF(G76&gt;=$D$17-0.001,"OK","SHORT")</f>
        <v/>
      </c>
      <c r="H77" s="24">
        <f>IF(H76&gt;=$D$17-0.001,"OK","SHORT")</f>
        <v/>
      </c>
      <c r="I77" s="24">
        <f>IF(I76&gt;=$D$17-0.001,"OK","SHORT")</f>
        <v/>
      </c>
    </row>
    <row r="79">
      <c r="B79" s="3" t="inlineStr">
        <is>
          <t>DEBT SCHEDULE</t>
        </is>
      </c>
      <c r="C79" s="3" t="n"/>
      <c r="D79" s="3" t="n"/>
      <c r="E79" s="3" t="n"/>
      <c r="F79" s="3" t="n"/>
      <c r="G79" s="3" t="n"/>
      <c r="H79" s="3" t="n"/>
      <c r="I79" s="3" t="n"/>
    </row>
    <row r="80">
      <c r="D80" s="23" t="inlineStr">
        <is>
          <t>Close</t>
        </is>
      </c>
      <c r="E80" s="22" t="n">
        <v>1</v>
      </c>
      <c r="F80" s="22" t="n">
        <v>2</v>
      </c>
      <c r="G80" s="22" t="n">
        <v>3</v>
      </c>
      <c r="H80" s="22" t="n">
        <v>4</v>
      </c>
      <c r="I80" s="22" t="n">
        <v>5</v>
      </c>
    </row>
    <row r="81">
      <c r="B81" s="25" t="inlineStr">
        <is>
          <t>Term Loan B (8.0%, 1% mandatory amortization, 100% sweep)</t>
        </is>
      </c>
      <c r="J81" s="18" t="inlineStr">
        <is>
          <t>Formula (Year 1 column)</t>
        </is>
      </c>
    </row>
    <row r="82">
      <c r="B82" s="26" t="inlineStr">
        <is>
          <t>Beginning balance</t>
        </is>
      </c>
      <c r="E82" s="8">
        <f>D86</f>
        <v/>
      </c>
      <c r="F82" s="8">
        <f>E86</f>
        <v/>
      </c>
      <c r="G82" s="8">
        <f>F86</f>
        <v/>
      </c>
      <c r="H82" s="8">
        <f>G86</f>
        <v/>
      </c>
      <c r="I82" s="8">
        <f>H86</f>
        <v/>
      </c>
      <c r="J82" s="27" t="inlineStr">
        <is>
          <t>=D86</t>
        </is>
      </c>
    </row>
    <row r="83">
      <c r="B83" s="26" t="inlineStr">
        <is>
          <t>Less: Mandatory amortization (1% of the original $450.0)</t>
        </is>
      </c>
      <c r="E83" s="8">
        <f>-MIN(E82,$E$24*$G$24)</f>
        <v/>
      </c>
      <c r="F83" s="8">
        <f>-MIN(F82,$E$24*$G$24)</f>
        <v/>
      </c>
      <c r="G83" s="8">
        <f>-MIN(G82,$E$24*$G$24)</f>
        <v/>
      </c>
      <c r="H83" s="8">
        <f>-MIN(H82,$E$24*$G$24)</f>
        <v/>
      </c>
      <c r="I83" s="8">
        <f>-MIN(I82,$E$24*$G$24)</f>
        <v/>
      </c>
      <c r="J83" s="27" t="inlineStr">
        <is>
          <t>=-MIN(E82,$E$24*$G$24)</t>
        </is>
      </c>
    </row>
    <row r="84">
      <c r="B84" s="28" t="inlineStr">
        <is>
          <t>Cash above minimum after mandatory amortization</t>
        </is>
      </c>
      <c r="E84" s="8">
        <f>MAX(0,E75+E70+E83+E73-$D$17)</f>
        <v/>
      </c>
      <c r="F84" s="8">
        <f>MAX(0,F75+F70+F83+F73-$D$17)</f>
        <v/>
      </c>
      <c r="G84" s="8">
        <f>MAX(0,G75+G70+G83+G73-$D$17)</f>
        <v/>
      </c>
      <c r="H84" s="8">
        <f>MAX(0,H75+H70+H83+H73-$D$17)</f>
        <v/>
      </c>
      <c r="I84" s="8">
        <f>MAX(0,I75+I70+I83+I73-$D$17)</f>
        <v/>
      </c>
      <c r="J84" s="27" t="inlineStr">
        <is>
          <t>=MAX(0,E75+E70+E83+E73-$D$17)</t>
        </is>
      </c>
    </row>
    <row r="85">
      <c r="B85" s="26" t="inlineStr">
        <is>
          <t>Less: Cash sweep (MIN of cash available and balance left)</t>
        </is>
      </c>
      <c r="E85" s="8">
        <f>-MIN(E84,E82+E83)*$H$24</f>
        <v/>
      </c>
      <c r="F85" s="8">
        <f>-MIN(F84,F82+F83)*$H$24</f>
        <v/>
      </c>
      <c r="G85" s="8">
        <f>-MIN(G84,G82+G83)*$H$24</f>
        <v/>
      </c>
      <c r="H85" s="8">
        <f>-MIN(H84,H82+H83)*$H$24</f>
        <v/>
      </c>
      <c r="I85" s="8">
        <f>-MIN(I84,I82+I83)*$H$24</f>
        <v/>
      </c>
      <c r="J85" s="27" t="inlineStr">
        <is>
          <t>=-MIN(E84,E82+E83)*$H$24</t>
        </is>
      </c>
    </row>
    <row r="86">
      <c r="B86" s="26" t="inlineStr">
        <is>
          <t>Ending balance</t>
        </is>
      </c>
      <c r="D86" s="17">
        <f>E24</f>
        <v/>
      </c>
      <c r="E86" s="17">
        <f>E82+E83+E85</f>
        <v/>
      </c>
      <c r="F86" s="17">
        <f>F82+F83+F85</f>
        <v/>
      </c>
      <c r="G86" s="17">
        <f>G82+G83+G85</f>
        <v/>
      </c>
      <c r="H86" s="17">
        <f>H82+H83+H85</f>
        <v/>
      </c>
      <c r="I86" s="17">
        <f>I82+I83+I85</f>
        <v/>
      </c>
      <c r="J86" s="27" t="inlineStr">
        <is>
          <t>=E82+E83+E85</t>
        </is>
      </c>
    </row>
    <row r="87">
      <c r="B87" s="26" t="inlineStr">
        <is>
          <t>Interest (Circ 1 = average balance, 0 = beginning balance)</t>
        </is>
      </c>
      <c r="E87" s="8">
        <f>IF(Circ=1,AVERAGE(E82,E86),E82)*$F$24</f>
        <v/>
      </c>
      <c r="F87" s="8">
        <f>IF(Circ=1,AVERAGE(F82,F86),F82)*$F$24</f>
        <v/>
      </c>
      <c r="G87" s="8">
        <f>IF(Circ=1,AVERAGE(G82,G86),G82)*$F$24</f>
        <v/>
      </c>
      <c r="H87" s="8">
        <f>IF(Circ=1,AVERAGE(H82,H86),H82)*$F$24</f>
        <v/>
      </c>
      <c r="I87" s="8">
        <f>IF(Circ=1,AVERAGE(I82,I86),I82)*$F$24</f>
        <v/>
      </c>
      <c r="J87" s="27" t="inlineStr">
        <is>
          <t>=IF(Circ=1,AVERAGE(E82,E86),E82)*$F$24</t>
        </is>
      </c>
    </row>
    <row r="88">
      <c r="B88" s="28" t="inlineStr">
        <is>
          <t>Circ toggle (named cell D20 in the assumptions)</t>
        </is>
      </c>
      <c r="E88" s="29">
        <f>Circ</f>
        <v/>
      </c>
      <c r="J88" s="27" t="inlineStr">
        <is>
          <t>=Circ</t>
        </is>
      </c>
    </row>
    <row r="89">
      <c r="B89" s="25" t="inlineStr">
        <is>
          <t>Year 1 with Circ = 1 (average balance, iteration on)</t>
        </is>
      </c>
    </row>
    <row r="90">
      <c r="B90" s="26" t="inlineStr">
        <is>
          <t>Term Loan B interest, average balance</t>
        </is>
      </c>
      <c r="E90" s="8">
        <f>AVERAGE(E82,E92)*$F$24</f>
        <v/>
      </c>
      <c r="J90" s="27" t="inlineStr">
        <is>
          <t>=AVERAGE(E82,E92)*$F$24</t>
        </is>
      </c>
    </row>
    <row r="91">
      <c r="B91" s="26" t="inlineStr">
        <is>
          <t>Cash available for debt repayment</t>
        </is>
      </c>
      <c r="E91" s="8">
        <f>(E55+E57+E58-E90)*(1-$D$35)+E66+E67+E68+E69</f>
        <v/>
      </c>
      <c r="J91" s="27" t="inlineStr">
        <is>
          <t>=(E55+E57+E58-E90)*(1-$D$35)+E66+E67+E68+E69</t>
        </is>
      </c>
    </row>
    <row r="92">
      <c r="B92" s="26" t="inlineStr">
        <is>
          <t>Term Loan B, ending balance</t>
        </is>
      </c>
      <c r="E92" s="8">
        <f>E82+E83-MIN(MAX(0,E75+E91+E83-$D$17),E82+E83)*$H$24</f>
        <v/>
      </c>
      <c r="J92" s="27" t="inlineStr">
        <is>
          <t>=E82+E83-MIN(MAX(0,E75+E91+E83-$D$17),E82+E83)*$H$24</t>
        </is>
      </c>
    </row>
    <row r="94">
      <c r="B94" s="25" t="inlineStr">
        <is>
          <t>Senior notes (9.0% fixed, bullet at maturity, no prepayment)</t>
        </is>
      </c>
    </row>
    <row r="95">
      <c r="B95" s="26" t="inlineStr">
        <is>
          <t>Beginning balance</t>
        </is>
      </c>
      <c r="E95" s="8">
        <f>D97</f>
        <v/>
      </c>
      <c r="F95" s="8">
        <f>E97</f>
        <v/>
      </c>
      <c r="G95" s="8">
        <f>F97</f>
        <v/>
      </c>
      <c r="H95" s="8">
        <f>G97</f>
        <v/>
      </c>
      <c r="I95" s="8">
        <f>H97</f>
        <v/>
      </c>
    </row>
    <row r="96">
      <c r="B96" s="26" t="inlineStr">
        <is>
          <t>Less: Repayment</t>
        </is>
      </c>
      <c r="E96" s="8">
        <f>-MIN(E95,$E$25*$G$25)</f>
        <v/>
      </c>
      <c r="F96" s="8">
        <f>-MIN(F95,$E$25*$G$25)</f>
        <v/>
      </c>
      <c r="G96" s="8">
        <f>-MIN(G95,$E$25*$G$25)</f>
        <v/>
      </c>
      <c r="H96" s="8">
        <f>-MIN(H95,$E$25*$G$25)</f>
        <v/>
      </c>
      <c r="I96" s="8">
        <f>-MIN(I95,$E$25*$G$25)</f>
        <v/>
      </c>
    </row>
    <row r="97">
      <c r="B97" s="26" t="inlineStr">
        <is>
          <t>Ending balance</t>
        </is>
      </c>
      <c r="D97" s="17">
        <f>E25</f>
        <v/>
      </c>
      <c r="E97" s="17">
        <f>E95+E96</f>
        <v/>
      </c>
      <c r="F97" s="17">
        <f>F95+F96</f>
        <v/>
      </c>
      <c r="G97" s="17">
        <f>G95+G96</f>
        <v/>
      </c>
      <c r="H97" s="17">
        <f>H95+H96</f>
        <v/>
      </c>
      <c r="I97" s="17">
        <f>I95+I96</f>
        <v/>
      </c>
    </row>
    <row r="98">
      <c r="B98" s="26" t="inlineStr">
        <is>
          <t>Interest expense (9.0% on beginning balance)</t>
        </is>
      </c>
      <c r="E98" s="8">
        <f>E95*$F$25</f>
        <v/>
      </c>
      <c r="F98" s="8">
        <f>F95*$F$25</f>
        <v/>
      </c>
      <c r="G98" s="8">
        <f>G95*$F$25</f>
        <v/>
      </c>
      <c r="H98" s="8">
        <f>H95*$F$25</f>
        <v/>
      </c>
      <c r="I98" s="8">
        <f>I95*$F$25</f>
        <v/>
      </c>
    </row>
    <row r="100">
      <c r="B100" s="25" t="inlineStr">
        <is>
          <t>Revolver ($75.0 commitment)</t>
        </is>
      </c>
    </row>
    <row r="101">
      <c r="B101" s="26" t="inlineStr">
        <is>
          <t>Beginning balance</t>
        </is>
      </c>
      <c r="E101" s="8">
        <f>D104</f>
        <v/>
      </c>
      <c r="F101" s="8">
        <f>E104</f>
        <v/>
      </c>
      <c r="G101" s="8">
        <f>F104</f>
        <v/>
      </c>
      <c r="H101" s="8">
        <f>G104</f>
        <v/>
      </c>
      <c r="I101" s="8">
        <f>H104</f>
        <v/>
      </c>
    </row>
    <row r="102">
      <c r="B102" s="26" t="inlineStr">
        <is>
          <t>Draw to cover a cash shortfall (MAX of 0 and shortfall)</t>
        </is>
      </c>
      <c r="E102" s="8">
        <f>MAX(0,$D$17-(E75+E70+E83))</f>
        <v/>
      </c>
      <c r="F102" s="8">
        <f>MAX(0,$D$17-(F75+F70+F83))</f>
        <v/>
      </c>
      <c r="G102" s="8">
        <f>MAX(0,$D$17-(G75+G70+G83))</f>
        <v/>
      </c>
      <c r="H102" s="8">
        <f>MAX(0,$D$17-(H75+H70+H83))</f>
        <v/>
      </c>
      <c r="I102" s="8">
        <f>MAX(0,$D$17-(I75+I70+I83))</f>
        <v/>
      </c>
    </row>
    <row r="103">
      <c r="B103" s="26" t="inlineStr">
        <is>
          <t>Less: Repayment (first claim on spare cash)</t>
        </is>
      </c>
      <c r="E103" s="8">
        <f>-MIN(E101,MAX(0,E75+E70+E83-$D$17))</f>
        <v/>
      </c>
      <c r="F103" s="8">
        <f>-MIN(F101,MAX(0,F75+F70+F83-$D$17))</f>
        <v/>
      </c>
      <c r="G103" s="8">
        <f>-MIN(G101,MAX(0,G75+G70+G83-$D$17))</f>
        <v/>
      </c>
      <c r="H103" s="8">
        <f>-MIN(H101,MAX(0,H75+H70+H83-$D$17))</f>
        <v/>
      </c>
      <c r="I103" s="8">
        <f>-MIN(I101,MAX(0,I75+I70+I83-$D$17))</f>
        <v/>
      </c>
    </row>
    <row r="104">
      <c r="B104" s="26" t="inlineStr">
        <is>
          <t>Ending balance</t>
        </is>
      </c>
      <c r="D104" s="17">
        <f>I39</f>
        <v/>
      </c>
      <c r="E104" s="17">
        <f>E101+E102+E103</f>
        <v/>
      </c>
      <c r="F104" s="17">
        <f>F101+F102+F103</f>
        <v/>
      </c>
      <c r="G104" s="17">
        <f>G101+G102+G103</f>
        <v/>
      </c>
      <c r="H104" s="17">
        <f>H101+H102+H103</f>
        <v/>
      </c>
      <c r="I104" s="17">
        <f>I101+I102+I103</f>
        <v/>
      </c>
    </row>
    <row r="106">
      <c r="B106" s="4" t="inlineStr">
        <is>
          <t>Total debt, ending</t>
        </is>
      </c>
      <c r="D106" s="17">
        <f>D86+D97+D104</f>
        <v/>
      </c>
      <c r="E106" s="17">
        <f>E86+E97+E104</f>
        <v/>
      </c>
      <c r="F106" s="17">
        <f>F86+F97+F104</f>
        <v/>
      </c>
      <c r="G106" s="17">
        <f>G86+G97+G104</f>
        <v/>
      </c>
      <c r="H106" s="17">
        <f>H86+H97+H104</f>
        <v/>
      </c>
      <c r="I106" s="17">
        <f>I86+I97+I104</f>
        <v/>
      </c>
    </row>
    <row r="107">
      <c r="B107" s="2" t="inlineStr">
        <is>
          <t>Total debt / EBITDA</t>
        </is>
      </c>
      <c r="D107" s="30">
        <f>D106/D53</f>
        <v/>
      </c>
      <c r="E107" s="30">
        <f>E106/E53</f>
        <v/>
      </c>
      <c r="F107" s="30">
        <f>F106/F53</f>
        <v/>
      </c>
      <c r="G107" s="30">
        <f>G106/G53</f>
        <v/>
      </c>
      <c r="H107" s="30">
        <f>H106/H53</f>
        <v/>
      </c>
      <c r="I107" s="30">
        <f>I106/I53</f>
        <v/>
      </c>
    </row>
    <row r="108">
      <c r="B108" s="2" t="inlineStr">
        <is>
          <t>EBITDA / cash interest</t>
        </is>
      </c>
      <c r="E108" s="30">
        <f>E53/(E87+E98)</f>
        <v/>
      </c>
      <c r="F108" s="30">
        <f>F53/(F87+F98)</f>
        <v/>
      </c>
      <c r="G108" s="30">
        <f>G53/(G87+G98)</f>
        <v/>
      </c>
      <c r="H108" s="30">
        <f>H53/(H87+H98)</f>
        <v/>
      </c>
      <c r="I108" s="30">
        <f>I53/(I87+I98)</f>
        <v/>
      </c>
    </row>
    <row r="109">
      <c r="B109" s="2" t="inlineStr">
        <is>
          <t>Check: no debt balance below zero</t>
        </is>
      </c>
      <c r="E109" s="24">
        <f>IF(MIN(E86,E97,E104)&lt;-0.001,"ERROR","OK")</f>
        <v/>
      </c>
      <c r="F109" s="24">
        <f>IF(MIN(F86,F97,F104)&lt;-0.001,"ERROR","OK")</f>
        <v/>
      </c>
      <c r="G109" s="24">
        <f>IF(MIN(G86,G97,G104)&lt;-0.001,"ERROR","OK")</f>
        <v/>
      </c>
      <c r="H109" s="24">
        <f>IF(MIN(H86,H97,H104)&lt;-0.001,"ERROR","OK")</f>
        <v/>
      </c>
      <c r="I109" s="24">
        <f>IF(MIN(I86,I97,I104)&lt;-0.001,"ERROR","OK")</f>
        <v/>
      </c>
    </row>
    <row r="111">
      <c r="B111" s="3" t="inlineStr">
        <is>
          <t>RETURNS</t>
        </is>
      </c>
      <c r="C111" s="3" t="n"/>
      <c r="D111" s="3" t="n"/>
      <c r="E111" s="3" t="n"/>
      <c r="F111" s="3" t="n"/>
      <c r="G111" s="3" t="n"/>
      <c r="H111" s="3" t="n"/>
      <c r="I111" s="3" t="n"/>
    </row>
    <row r="112">
      <c r="B112" s="4" t="inlineStr">
        <is>
          <t>Exit year</t>
        </is>
      </c>
      <c r="D112" s="31">
        <f>D19</f>
        <v/>
      </c>
    </row>
    <row r="113">
      <c r="B113" s="4" t="inlineStr">
        <is>
          <t>Exit year EBITDA</t>
        </is>
      </c>
      <c r="D113" s="8">
        <f>INDEX($E$53:$I$53,1,$D$19)</f>
        <v/>
      </c>
    </row>
    <row r="114">
      <c r="B114" s="4" t="inlineStr">
        <is>
          <t>Exit multiple</t>
        </is>
      </c>
      <c r="D114" s="20">
        <f>D18</f>
        <v/>
      </c>
    </row>
    <row r="115">
      <c r="B115" s="4" t="inlineStr">
        <is>
          <t>Exit enterprise value</t>
        </is>
      </c>
      <c r="D115" s="8">
        <f>D113*D114</f>
        <v/>
      </c>
    </row>
    <row r="116">
      <c r="B116" s="4" t="inlineStr">
        <is>
          <t>Less: Total debt at exit</t>
        </is>
      </c>
      <c r="D116" s="8">
        <f>-INDEX($E$106:$I$106,1,$D$19)</f>
        <v/>
      </c>
    </row>
    <row r="117">
      <c r="B117" s="4" t="inlineStr">
        <is>
          <t>Plus: Cash at exit</t>
        </is>
      </c>
      <c r="D117" s="8">
        <f>INDEX($E$76:$I$76,1,$D$19)</f>
        <v/>
      </c>
    </row>
    <row r="118">
      <c r="B118" s="15" t="inlineStr">
        <is>
          <t>Exit equity value</t>
        </is>
      </c>
      <c r="D118" s="17">
        <f>SUM(D115:D117)</f>
        <v/>
      </c>
    </row>
    <row r="119">
      <c r="B119" s="4" t="inlineStr">
        <is>
          <t>Sponsor equity invested (from sources and uses)</t>
        </is>
      </c>
      <c r="D119" s="8">
        <f>I42</f>
        <v/>
      </c>
    </row>
    <row r="120">
      <c r="B120" s="25" t="inlineStr">
        <is>
          <t>MOIC (exit equity / equity invested)</t>
        </is>
      </c>
      <c r="D120" s="32">
        <f>D118/D119</f>
        <v/>
      </c>
    </row>
    <row r="121">
      <c r="B121" s="25" t="inlineStr">
        <is>
          <t>IRR (MOIC ^ (1 / years) less 1)</t>
        </is>
      </c>
      <c r="D121" s="33">
        <f>D120^(1/D112)-1</f>
        <v/>
      </c>
    </row>
    <row r="123">
      <c r="D123" s="23" t="inlineStr">
        <is>
          <t>Close</t>
        </is>
      </c>
      <c r="E123" s="22" t="n">
        <v>1</v>
      </c>
      <c r="F123" s="22" t="n">
        <v>2</v>
      </c>
      <c r="G123" s="22" t="n">
        <v>3</v>
      </c>
      <c r="H123" s="22" t="n">
        <v>4</v>
      </c>
      <c r="I123" s="22" t="n">
        <v>5</v>
      </c>
    </row>
    <row r="124">
      <c r="B124" s="4" t="inlineStr">
        <is>
          <t>Sponsor equity cash flows (equity in as a negative)</t>
        </is>
      </c>
      <c r="D124" s="8">
        <f>-D119</f>
        <v/>
      </c>
      <c r="E124" s="8">
        <f>IF(E$123=$D$19,$D$118,0)</f>
        <v/>
      </c>
      <c r="F124" s="8">
        <f>IF(F$123=$D$19,$D$118,0)</f>
        <v/>
      </c>
      <c r="G124" s="8">
        <f>IF(G$123=$D$19,$D$118,0)</f>
        <v/>
      </c>
      <c r="H124" s="8">
        <f>IF(H$123=$D$19,$D$118,0)</f>
        <v/>
      </c>
      <c r="I124" s="8">
        <f>IF(I$123=$D$19,$D$118,0)</f>
        <v/>
      </c>
    </row>
    <row r="125">
      <c r="B125" s="2" t="inlineStr">
        <is>
          <t>IRR check (Excel IRR function on the cash flows above)</t>
        </is>
      </c>
      <c r="D125" s="34">
        <f>IRR(D124:I124)</f>
        <v/>
      </c>
    </row>
    <row r="127">
      <c r="B127" s="3" t="inlineStr">
        <is>
          <t>SENSITIVITY: IRR, ENTRY MULTIPLE VS EXIT MULTIPLE (data table)</t>
        </is>
      </c>
      <c r="C127" s="3" t="n"/>
      <c r="D127" s="3" t="n"/>
      <c r="E127" s="3" t="n"/>
      <c r="F127" s="3" t="n"/>
      <c r="G127" s="3" t="n"/>
      <c r="H127" s="3" t="n"/>
      <c r="I127" s="3" t="n"/>
    </row>
    <row r="128">
      <c r="B128" s="2" t="inlineStr">
        <is>
          <t>Leverage fixed at 6.0x LTM EBITDA, exit at the end of Year 5, same operating case. The corner cell links to the IRR.</t>
        </is>
      </c>
    </row>
    <row r="129">
      <c r="B129" s="25" t="inlineStr">
        <is>
          <t>Entry multiple (down), exit multiple (across)</t>
        </is>
      </c>
      <c r="D129" s="35">
        <f>D121</f>
        <v/>
      </c>
      <c r="E129" s="36" t="n">
        <v>8</v>
      </c>
      <c r="F129" s="36" t="n">
        <v>9</v>
      </c>
      <c r="G129" s="36" t="n">
        <v>10</v>
      </c>
      <c r="H129" s="36" t="n">
        <v>11</v>
      </c>
      <c r="I129" s="36" t="n">
        <v>12</v>
      </c>
    </row>
    <row r="130">
      <c r="D130" s="37" t="n">
        <v>8</v>
      </c>
      <c r="E130" s="6" t="n">
        <v>0.2812524846669637</v>
      </c>
      <c r="F130" s="6" t="n">
        <v>0.3231179926482308</v>
      </c>
      <c r="G130" s="6" t="n">
        <v>0.3602707432180756</v>
      </c>
      <c r="H130" s="6" t="n">
        <v>0.3937587325323149</v>
      </c>
      <c r="I130" s="6" t="n">
        <v>0.424306912521573</v>
      </c>
    </row>
    <row r="131">
      <c r="D131" s="37" t="n">
        <v>9</v>
      </c>
      <c r="E131" s="6" t="n">
        <v>0.1978684142797573</v>
      </c>
      <c r="F131" s="6" t="n">
        <v>0.2370093098164963</v>
      </c>
      <c r="G131" s="6" t="n">
        <v>0.2717441547778308</v>
      </c>
      <c r="H131" s="6" t="n">
        <v>0.3030527415999607</v>
      </c>
      <c r="I131" s="6" t="n">
        <v>0.331612842252079</v>
      </c>
    </row>
    <row r="132">
      <c r="D132" s="37" t="n">
        <v>10</v>
      </c>
      <c r="E132" s="6" t="n">
        <v>0.1391481772607794</v>
      </c>
      <c r="F132" s="6" t="n">
        <v>0.1763703623317832</v>
      </c>
      <c r="G132" s="38" t="n">
        <v>0.2094024841019617</v>
      </c>
      <c r="H132" s="6" t="n">
        <v>0.239176304987359</v>
      </c>
      <c r="I132" s="6" t="n">
        <v>0.2663363721636913</v>
      </c>
    </row>
    <row r="133">
      <c r="D133" s="37" t="n">
        <v>11</v>
      </c>
      <c r="E133" s="6" t="n">
        <v>0.09433473542776571</v>
      </c>
      <c r="F133" s="6" t="n">
        <v>0.13009262089414</v>
      </c>
      <c r="G133" s="6" t="n">
        <v>0.1618252777684275</v>
      </c>
      <c r="H133" s="6" t="n">
        <v>0.1904278134628121</v>
      </c>
      <c r="I133" s="6" t="n">
        <v>0.2165194190334614</v>
      </c>
    </row>
    <row r="134">
      <c r="D134" s="37" t="n">
        <v>12</v>
      </c>
      <c r="E134" s="6" t="n">
        <v>0.0583761654505659</v>
      </c>
      <c r="F134" s="6" t="n">
        <v>0.09295908827968402</v>
      </c>
      <c r="G134" s="6" t="n">
        <v>0.1236490468589837</v>
      </c>
      <c r="H134" s="6" t="n">
        <v>0.1513117364094096</v>
      </c>
      <c r="I134" s="6" t="n">
        <v>0.1765460020872855</v>
      </c>
    </row>
    <row r="136">
      <c r="B136" s="3" t="inlineStr">
        <is>
          <t>SENSITIVITY: IRR, LEVERAGE VS EXIT YEAR (data table)</t>
        </is>
      </c>
      <c r="C136" s="3" t="n"/>
      <c r="D136" s="3" t="n"/>
      <c r="E136" s="3" t="n"/>
      <c r="F136" s="3" t="n"/>
      <c r="G136" s="3" t="n"/>
      <c r="H136" s="3" t="n"/>
      <c r="I136" s="3" t="n"/>
    </row>
    <row r="137">
      <c r="B137" s="2" t="inlineStr">
        <is>
          <t>Entry and exit both at 10.0x. Debt splits 75% term loan and 25% notes at each level, financing fees scale with the debt.</t>
        </is>
      </c>
    </row>
    <row r="138">
      <c r="B138" s="25" t="inlineStr">
        <is>
          <t>Leverage, x LTM EBITDA (down), exit year (across)</t>
        </is>
      </c>
      <c r="D138" s="35">
        <f>D121</f>
        <v/>
      </c>
      <c r="E138" s="39" t="n">
        <v>3</v>
      </c>
      <c r="F138" s="39" t="n">
        <v>4</v>
      </c>
      <c r="G138" s="39" t="n">
        <v>5</v>
      </c>
      <c r="H138" s="39" t="n">
        <v>6</v>
      </c>
      <c r="I138" s="39" t="n">
        <v>7</v>
      </c>
    </row>
    <row r="139">
      <c r="D139" s="37" t="n">
        <v>4</v>
      </c>
      <c r="E139" s="6" t="n">
        <v>0.1767271205280172</v>
      </c>
      <c r="F139" s="6" t="n">
        <v>0.1751415885852157</v>
      </c>
      <c r="G139" s="6" t="n">
        <v>0.1725211762272512</v>
      </c>
      <c r="H139" s="6" t="n">
        <v>0.1695374611653642</v>
      </c>
      <c r="I139" s="6" t="n">
        <v>0.1660380595078181</v>
      </c>
    </row>
    <row r="140">
      <c r="D140" s="37" t="n">
        <v>5</v>
      </c>
      <c r="E140" s="6" t="n">
        <v>0.1943692700880242</v>
      </c>
      <c r="F140" s="6" t="n">
        <v>0.1918689841694627</v>
      </c>
      <c r="G140" s="6" t="n">
        <v>0.1882117187697712</v>
      </c>
      <c r="H140" s="6" t="n">
        <v>0.1842787869481828</v>
      </c>
      <c r="I140" s="6" t="n">
        <v>0.1803879480362558</v>
      </c>
    </row>
    <row r="141">
      <c r="D141" s="37" t="n">
        <v>6</v>
      </c>
      <c r="E141" s="6" t="n">
        <v>0.2188440931371702</v>
      </c>
      <c r="F141" s="6" t="n">
        <v>0.2147388376232939</v>
      </c>
      <c r="G141" s="38" t="n">
        <v>0.2094024841019617</v>
      </c>
      <c r="H141" s="6" t="n">
        <v>0.2039098121299332</v>
      </c>
      <c r="I141" s="6" t="n">
        <v>0.1986191390357508</v>
      </c>
    </row>
    <row r="142">
      <c r="D142" s="37" t="n">
        <v>7</v>
      </c>
      <c r="E142" s="6" t="n">
        <v>0.2551527249206098</v>
      </c>
      <c r="F142" s="6" t="n">
        <v>0.2480117969204632</v>
      </c>
      <c r="G142" s="6" t="n">
        <v>0.2397450331900726</v>
      </c>
      <c r="H142" s="6" t="n">
        <v>0.2316503730041908</v>
      </c>
      <c r="I142" s="6" t="n">
        <v>0.2240976700931463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2">
      <c r="B2" s="1" t="inlineStr">
        <is>
          <t>Paper LBO, the five-minute interview version</t>
        </is>
      </c>
    </row>
    <row r="3">
      <c r="B3" s="2" t="inlineStr">
        <is>
          <t>$ in millions. Interest on the beginning balance, rounded to the nearest million; free cash flow to the nearest five.</t>
        </is>
      </c>
    </row>
    <row r="5">
      <c r="B5" s="3" t="inlineStr">
        <is>
          <t>STEP 1: PURCHASE PRICE AND EQUITY CHECK</t>
        </is>
      </c>
      <c r="C5" s="3" t="n"/>
      <c r="D5" s="3" t="n"/>
      <c r="E5" s="3" t="n"/>
      <c r="F5" s="3" t="n"/>
      <c r="G5" s="3" t="n"/>
      <c r="H5" s="3" t="n"/>
    </row>
    <row r="6">
      <c r="B6" s="4" t="inlineStr">
        <is>
          <t>LTM EBITDA</t>
        </is>
      </c>
      <c r="D6" s="40" t="n">
        <v>100</v>
      </c>
      <c r="F6" s="4" t="inlineStr">
        <is>
          <t>Interest rate</t>
        </is>
      </c>
      <c r="H6" s="14" t="n">
        <v>0.08</v>
      </c>
    </row>
    <row r="7">
      <c r="B7" s="4" t="inlineStr">
        <is>
          <t>EBITDA growth a year ($)</t>
        </is>
      </c>
      <c r="D7" s="40" t="n">
        <v>10</v>
      </c>
      <c r="F7" s="4" t="inlineStr">
        <is>
          <t>D&amp;A a year</t>
        </is>
      </c>
      <c r="H7" s="40" t="n">
        <v>20</v>
      </c>
    </row>
    <row r="8">
      <c r="B8" s="4" t="inlineStr">
        <is>
          <t>Entry multiple</t>
        </is>
      </c>
      <c r="D8" s="7" t="n">
        <v>8</v>
      </c>
      <c r="F8" s="4" t="inlineStr">
        <is>
          <t>Capex a year</t>
        </is>
      </c>
      <c r="H8" s="40" t="n">
        <v>20</v>
      </c>
    </row>
    <row r="9">
      <c r="B9" s="4" t="inlineStr">
        <is>
          <t>Enterprise value (purchase price)</t>
        </is>
      </c>
      <c r="D9" s="41">
        <f>D6*D8</f>
        <v/>
      </c>
      <c r="F9" s="4" t="inlineStr">
        <is>
          <t>Tax rate</t>
        </is>
      </c>
      <c r="H9" s="14" t="n">
        <v>0.25</v>
      </c>
    </row>
    <row r="10">
      <c r="B10" s="4" t="inlineStr">
        <is>
          <t>Debt (x EBITDA)</t>
        </is>
      </c>
      <c r="D10" s="7" t="n">
        <v>5</v>
      </c>
      <c r="F10" s="4" t="inlineStr">
        <is>
          <t>Exit multiple (after Year 5)</t>
        </is>
      </c>
      <c r="H10" s="7" t="n">
        <v>8</v>
      </c>
    </row>
    <row r="11">
      <c r="B11" s="4" t="inlineStr">
        <is>
          <t>Debt</t>
        </is>
      </c>
      <c r="D11" s="41">
        <f>D6*D10</f>
        <v/>
      </c>
    </row>
    <row r="12">
      <c r="B12" s="15" t="inlineStr">
        <is>
          <t>Equity check (price less debt)</t>
        </is>
      </c>
      <c r="D12" s="42">
        <f>D9-D11</f>
        <v/>
      </c>
    </row>
    <row r="14">
      <c r="B14" s="3" t="inlineStr">
        <is>
          <t>STEPS 2 AND 3: YEAR 1 CASH FLOW, THEN YEARS 2 TO 5 (rounded as you go)</t>
        </is>
      </c>
      <c r="C14" s="3" t="n"/>
      <c r="D14" s="3" t="n"/>
      <c r="E14" s="3" t="n"/>
      <c r="F14" s="3" t="n"/>
      <c r="G14" s="3" t="n"/>
      <c r="H14" s="3" t="n"/>
    </row>
    <row r="15">
      <c r="D15" s="22" t="n">
        <v>1</v>
      </c>
      <c r="E15" s="22" t="n">
        <v>2</v>
      </c>
      <c r="F15" s="22" t="n">
        <v>3</v>
      </c>
      <c r="G15" s="22" t="n">
        <v>4</v>
      </c>
      <c r="H15" s="22" t="n">
        <v>5</v>
      </c>
    </row>
    <row r="16">
      <c r="B16" s="4" t="inlineStr">
        <is>
          <t>EBITDA (grows $10 a year)</t>
        </is>
      </c>
      <c r="D16" s="41">
        <f>$D$6+$D$7*D$15</f>
        <v/>
      </c>
      <c r="E16" s="41">
        <f>$D$6+$D$7*E$15</f>
        <v/>
      </c>
      <c r="F16" s="41">
        <f>$D$6+$D$7*F$15</f>
        <v/>
      </c>
      <c r="G16" s="41">
        <f>$D$6+$D$7*G$15</f>
        <v/>
      </c>
      <c r="H16" s="41">
        <f>$D$6+$D$7*H$15</f>
        <v/>
      </c>
    </row>
    <row r="17">
      <c r="B17" s="4" t="inlineStr">
        <is>
          <t>Less: D&amp;A</t>
        </is>
      </c>
      <c r="D17" s="41">
        <f>-$H$7</f>
        <v/>
      </c>
      <c r="E17" s="41">
        <f>-$H$7</f>
        <v/>
      </c>
      <c r="F17" s="41">
        <f>-$H$7</f>
        <v/>
      </c>
      <c r="G17" s="41">
        <f>-$H$7</f>
        <v/>
      </c>
      <c r="H17" s="41">
        <f>-$H$7</f>
        <v/>
      </c>
    </row>
    <row r="18">
      <c r="B18" s="15" t="inlineStr">
        <is>
          <t>EBIT</t>
        </is>
      </c>
      <c r="D18" s="42">
        <f>D16+D17</f>
        <v/>
      </c>
      <c r="E18" s="42">
        <f>E16+E17</f>
        <v/>
      </c>
      <c r="F18" s="42">
        <f>F16+F17</f>
        <v/>
      </c>
      <c r="G18" s="42">
        <f>G16+G17</f>
        <v/>
      </c>
      <c r="H18" s="42">
        <f>H16+H17</f>
        <v/>
      </c>
    </row>
    <row r="19">
      <c r="B19" s="2" t="inlineStr">
        <is>
          <t>Debt, beginning of year</t>
        </is>
      </c>
      <c r="D19" s="41">
        <f>$D$11</f>
        <v/>
      </c>
      <c r="E19" s="41">
        <f>D24</f>
        <v/>
      </c>
      <c r="F19" s="41">
        <f>E24</f>
        <v/>
      </c>
      <c r="G19" s="41">
        <f>F24</f>
        <v/>
      </c>
      <c r="H19" s="41">
        <f>G24</f>
        <v/>
      </c>
    </row>
    <row r="20">
      <c r="B20" s="4" t="inlineStr">
        <is>
          <t>Less: Interest (8% of beginning debt, rounded)</t>
        </is>
      </c>
      <c r="D20" s="41">
        <f>-ROUND(D19*$H$6,0)</f>
        <v/>
      </c>
      <c r="E20" s="41">
        <f>-ROUND(E19*$H$6,0)</f>
        <v/>
      </c>
      <c r="F20" s="41">
        <f>-ROUND(F19*$H$6,0)</f>
        <v/>
      </c>
      <c r="G20" s="41">
        <f>-ROUND(G19*$H$6,0)</f>
        <v/>
      </c>
      <c r="H20" s="41">
        <f>-ROUND(H19*$H$6,0)</f>
        <v/>
      </c>
    </row>
    <row r="21">
      <c r="B21" s="15" t="inlineStr">
        <is>
          <t>Pre-tax income</t>
        </is>
      </c>
      <c r="D21" s="42">
        <f>D18+D20</f>
        <v/>
      </c>
      <c r="E21" s="42">
        <f>E18+E20</f>
        <v/>
      </c>
      <c r="F21" s="42">
        <f>F18+F20</f>
        <v/>
      </c>
      <c r="G21" s="42">
        <f>G18+G20</f>
        <v/>
      </c>
      <c r="H21" s="42">
        <f>H18+H20</f>
        <v/>
      </c>
    </row>
    <row r="22">
      <c r="B22" s="4" t="inlineStr">
        <is>
          <t>Net income (75% of pre-tax)</t>
        </is>
      </c>
      <c r="D22" s="8">
        <f>D21*(1-$H$9)</f>
        <v/>
      </c>
      <c r="E22" s="41">
        <f>E21*(1-$H$9)</f>
        <v/>
      </c>
      <c r="F22" s="41">
        <f>F21*(1-$H$9)</f>
        <v/>
      </c>
      <c r="G22" s="41">
        <f>G21*(1-$H$9)</f>
        <v/>
      </c>
      <c r="H22" s="41">
        <f>H21*(1-$H$9)</f>
        <v/>
      </c>
    </row>
    <row r="23">
      <c r="B23" s="4" t="inlineStr">
        <is>
          <t>Free cash flow (NI plus D&amp;A less capex, rounded to nearest 5)</t>
        </is>
      </c>
      <c r="D23" s="41">
        <f>MROUND(D22-D17-$H$8,5)</f>
        <v/>
      </c>
      <c r="E23" s="41">
        <f>MROUND(E22-E17-$H$8,5)</f>
        <v/>
      </c>
      <c r="F23" s="41">
        <f>MROUND(F22-F17-$H$8,5)</f>
        <v/>
      </c>
      <c r="G23" s="41">
        <f>MROUND(G22-G17-$H$8,5)</f>
        <v/>
      </c>
      <c r="H23" s="41">
        <f>MROUND(H22-H17-$H$8,5)</f>
        <v/>
      </c>
    </row>
    <row r="24">
      <c r="B24" s="15" t="inlineStr">
        <is>
          <t>Debt, end of year (all free cash flow pays down debt)</t>
        </is>
      </c>
      <c r="D24" s="42">
        <f>D19-D23</f>
        <v/>
      </c>
      <c r="E24" s="42">
        <f>E19-E23</f>
        <v/>
      </c>
      <c r="F24" s="42">
        <f>F19-F23</f>
        <v/>
      </c>
      <c r="G24" s="42">
        <f>G19-G23</f>
        <v/>
      </c>
      <c r="H24" s="42">
        <f>H19-H23</f>
        <v/>
      </c>
    </row>
    <row r="26">
      <c r="B26" s="3" t="inlineStr">
        <is>
          <t>STEPS 4 AND 5: EXIT AND RETURNS</t>
        </is>
      </c>
      <c r="C26" s="3" t="n"/>
      <c r="D26" s="3" t="n"/>
      <c r="E26" s="3" t="n"/>
      <c r="F26" s="3" t="n"/>
      <c r="G26" s="3" t="n"/>
      <c r="H26" s="3" t="n"/>
    </row>
    <row r="27">
      <c r="D27" s="12" t="inlineStr">
        <is>
          <t>Out loud</t>
        </is>
      </c>
      <c r="E27" s="12" t="inlineStr">
        <is>
          <t>Exact</t>
        </is>
      </c>
    </row>
    <row r="28">
      <c r="B28" s="4" t="inlineStr">
        <is>
          <t>Year 5 EBITDA</t>
        </is>
      </c>
      <c r="D28" s="41">
        <f>H16</f>
        <v/>
      </c>
      <c r="E28" s="41">
        <f>H39</f>
        <v/>
      </c>
    </row>
    <row r="29">
      <c r="B29" s="4" t="inlineStr">
        <is>
          <t>Exit multiple</t>
        </is>
      </c>
      <c r="D29" s="20">
        <f>$H$10</f>
        <v/>
      </c>
      <c r="E29" s="20">
        <f>$H$10</f>
        <v/>
      </c>
    </row>
    <row r="30">
      <c r="B30" s="4" t="inlineStr">
        <is>
          <t>Exit enterprise value</t>
        </is>
      </c>
      <c r="D30" s="41">
        <f>D28*D29</f>
        <v/>
      </c>
      <c r="E30" s="41">
        <f>E28*E29</f>
        <v/>
      </c>
    </row>
    <row r="31">
      <c r="B31" s="4" t="inlineStr">
        <is>
          <t>Less: Debt remaining after Year 5</t>
        </is>
      </c>
      <c r="D31" s="41">
        <f>-H24</f>
        <v/>
      </c>
      <c r="E31" s="8">
        <f>-H46</f>
        <v/>
      </c>
    </row>
    <row r="32">
      <c r="B32" s="15" t="inlineStr">
        <is>
          <t>Exit equity value</t>
        </is>
      </c>
      <c r="D32" s="42">
        <f>D30+D31</f>
        <v/>
      </c>
      <c r="E32" s="17">
        <f>E30+E31</f>
        <v/>
      </c>
    </row>
    <row r="33">
      <c r="B33" s="4" t="inlineStr">
        <is>
          <t>Equity check at entry</t>
        </is>
      </c>
      <c r="D33" s="41">
        <f>$D$12</f>
        <v/>
      </c>
      <c r="E33" s="41">
        <f>$D$12</f>
        <v/>
      </c>
    </row>
    <row r="34">
      <c r="B34" s="25" t="inlineStr">
        <is>
          <t>MOIC</t>
        </is>
      </c>
      <c r="D34" s="43">
        <f>D32/D33</f>
        <v/>
      </c>
      <c r="E34" s="32">
        <f>E32/E33</f>
        <v/>
      </c>
    </row>
    <row r="35">
      <c r="B35" s="25" t="inlineStr">
        <is>
          <t>IRR over 5 years (MOIC ^ (1/5) less 1)</t>
        </is>
      </c>
      <c r="D35" s="33">
        <f>D34^(1/5)-1</f>
        <v/>
      </c>
      <c r="E35" s="33">
        <f>E34^(1/5)-1</f>
        <v/>
      </c>
    </row>
    <row r="37">
      <c r="B37" s="3" t="inlineStr">
        <is>
          <t>EXACT VERSION, NO ROUNDING (the check behind the out-loud answer)</t>
        </is>
      </c>
      <c r="C37" s="3" t="n"/>
      <c r="D37" s="3" t="n"/>
      <c r="E37" s="3" t="n"/>
      <c r="F37" s="3" t="n"/>
      <c r="G37" s="3" t="n"/>
      <c r="H37" s="3" t="n"/>
    </row>
    <row r="38">
      <c r="D38" s="22" t="n">
        <v>1</v>
      </c>
      <c r="E38" s="22" t="n">
        <v>2</v>
      </c>
      <c r="F38" s="22" t="n">
        <v>3</v>
      </c>
      <c r="G38" s="22" t="n">
        <v>4</v>
      </c>
      <c r="H38" s="22" t="n">
        <v>5</v>
      </c>
    </row>
    <row r="39">
      <c r="B39" s="4" t="inlineStr">
        <is>
          <t>EBITDA</t>
        </is>
      </c>
      <c r="D39" s="8">
        <f>$D$6+$D$7*D$38</f>
        <v/>
      </c>
      <c r="E39" s="8">
        <f>$D$6+$D$7*E$38</f>
        <v/>
      </c>
      <c r="F39" s="8">
        <f>$D$6+$D$7*F$38</f>
        <v/>
      </c>
      <c r="G39" s="8">
        <f>$D$6+$D$7*G$38</f>
        <v/>
      </c>
      <c r="H39" s="8">
        <f>$D$6+$D$7*H$38</f>
        <v/>
      </c>
    </row>
    <row r="40">
      <c r="B40" s="4" t="inlineStr">
        <is>
          <t>EBIT (EBITDA less D&amp;A)</t>
        </is>
      </c>
      <c r="D40" s="8">
        <f>D39-$H$7</f>
        <v/>
      </c>
      <c r="E40" s="8">
        <f>E39-$H$7</f>
        <v/>
      </c>
      <c r="F40" s="8">
        <f>F39-$H$7</f>
        <v/>
      </c>
      <c r="G40" s="8">
        <f>G39-$H$7</f>
        <v/>
      </c>
      <c r="H40" s="8">
        <f>H39-$H$7</f>
        <v/>
      </c>
    </row>
    <row r="41">
      <c r="B41" s="2" t="inlineStr">
        <is>
          <t>Debt, beginning of year</t>
        </is>
      </c>
      <c r="D41" s="8">
        <f>$D$11</f>
        <v/>
      </c>
      <c r="E41" s="8">
        <f>D46</f>
        <v/>
      </c>
      <c r="F41" s="8">
        <f>E46</f>
        <v/>
      </c>
      <c r="G41" s="8">
        <f>F46</f>
        <v/>
      </c>
      <c r="H41" s="8">
        <f>G46</f>
        <v/>
      </c>
    </row>
    <row r="42">
      <c r="B42" s="4" t="inlineStr">
        <is>
          <t>Less: Interest (8% of beginning debt)</t>
        </is>
      </c>
      <c r="D42" s="8">
        <f>-D41*$H$6</f>
        <v/>
      </c>
      <c r="E42" s="8">
        <f>-E41*$H$6</f>
        <v/>
      </c>
      <c r="F42" s="8">
        <f>-F41*$H$6</f>
        <v/>
      </c>
      <c r="G42" s="8">
        <f>-G41*$H$6</f>
        <v/>
      </c>
      <c r="H42" s="8">
        <f>-H41*$H$6</f>
        <v/>
      </c>
    </row>
    <row r="43">
      <c r="B43" s="15" t="inlineStr">
        <is>
          <t>Pre-tax income</t>
        </is>
      </c>
      <c r="D43" s="17">
        <f>D40+D42</f>
        <v/>
      </c>
      <c r="E43" s="17">
        <f>E40+E42</f>
        <v/>
      </c>
      <c r="F43" s="17">
        <f>F40+F42</f>
        <v/>
      </c>
      <c r="G43" s="17">
        <f>G40+G42</f>
        <v/>
      </c>
      <c r="H43" s="17">
        <f>H40+H42</f>
        <v/>
      </c>
    </row>
    <row r="44">
      <c r="B44" s="4" t="inlineStr">
        <is>
          <t>Net income (75% of pre-tax)</t>
        </is>
      </c>
      <c r="D44" s="8">
        <f>D43*(1-$H$9)</f>
        <v/>
      </c>
      <c r="E44" s="8">
        <f>E43*(1-$H$9)</f>
        <v/>
      </c>
      <c r="F44" s="8">
        <f>F43*(1-$H$9)</f>
        <v/>
      </c>
      <c r="G44" s="8">
        <f>G43*(1-$H$9)</f>
        <v/>
      </c>
      <c r="H44" s="8">
        <f>H43*(1-$H$9)</f>
        <v/>
      </c>
    </row>
    <row r="45">
      <c r="B45" s="4" t="inlineStr">
        <is>
          <t>Free cash flow (net income plus D&amp;A less capex)</t>
        </is>
      </c>
      <c r="D45" s="8">
        <f>D44+$H$7-$H$8</f>
        <v/>
      </c>
      <c r="E45" s="8">
        <f>E44+$H$7-$H$8</f>
        <v/>
      </c>
      <c r="F45" s="8">
        <f>F44+$H$7-$H$8</f>
        <v/>
      </c>
      <c r="G45" s="8">
        <f>G44+$H$7-$H$8</f>
        <v/>
      </c>
      <c r="H45" s="8">
        <f>H44+$H$7-$H$8</f>
        <v/>
      </c>
    </row>
    <row r="46">
      <c r="B46" s="15" t="inlineStr">
        <is>
          <t>Debt, end of year</t>
        </is>
      </c>
      <c r="D46" s="17">
        <f>D41-D45</f>
        <v/>
      </c>
      <c r="E46" s="17">
        <f>E41-E45</f>
        <v/>
      </c>
      <c r="F46" s="17">
        <f>F41-F45</f>
        <v/>
      </c>
      <c r="G46" s="17">
        <f>G41-G45</f>
        <v/>
      </c>
      <c r="H46" s="17">
        <f>H41-H45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Wall Street Guide</dc:creator>
  <dc:title xmlns:dc="http://purl.org/dc/elements/1.1/">TargetCo LBO model</dc:title>
  <dcterms:created xmlns:dcterms="http://purl.org/dc/terms/" xmlns:xsi="http://www.w3.org/2001/XMLSchema-instance" xsi:type="dcterms:W3CDTF">2026-10-01T19:26:27Z</dcterms:created>
  <dcterms:modified xmlns:dcterms="http://purl.org/dc/terms/" xmlns:xsi="http://www.w3.org/2001/XMLSchema-instance" xsi:type="dcterms:W3CDTF">2026-10-01T19:26:27Z</dcterms:modified>
  <cp:lastModifiedBy>Wall Street Guide</cp:lastModifiedBy>
</cp:coreProperties>
</file>