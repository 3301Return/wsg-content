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hedules" sheetId="3" state="visible" r:id="rId3"/>
    <sheet xmlns:r="http://schemas.openxmlformats.org/officeDocument/2006/relationships" name="Cost of debt" sheetId="4" state="visible" r:id="rId4"/>
    <sheet xmlns:r="http://schemas.openxmlformats.org/officeDocument/2006/relationships" name="Beta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m d, yyyy"/>
    <numFmt numFmtId="166" formatCode="&quot;$&quot;#,##0.00;(&quot;$&quot;#,##0.00);&quot;$&quot;0.00"/>
    <numFmt numFmtId="167" formatCode="#,##0.0;(#,##0.0);0.0"/>
    <numFmt numFmtId="168" formatCode="0.00%;(0.00%);0.00%"/>
    <numFmt numFmtId="169" formatCode="0.0%;(0.0%);0.0%"/>
    <numFmt numFmtId="170" formatCode="0.0"/>
    <numFmt numFmtId="171" formatCode="0.000"/>
    <numFmt numFmtId="172" formatCode="0.0000"/>
    <numFmt numFmtId="173" formatCode="0.0&quot;x&quot;"/>
  </numFmts>
  <fonts count="1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4"/>
    </font>
    <font>
      <name val="Arial"/>
      <i val="1"/>
      <color rgb="0052514E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color rgb="0052514E"/>
      <sz val="10"/>
    </font>
    <font>
      <name val="Arial"/>
      <b val="1"/>
      <color rgb="00000000"/>
      <sz val="12"/>
    </font>
    <font>
      <name val="Arial"/>
      <i val="1"/>
      <color rgb="00000000"/>
      <sz val="10"/>
    </font>
    <font>
      <name val="Arial"/>
      <i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6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5" fontId="6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right"/>
    </xf>
    <xf numFmtId="166" fontId="6" fillId="3" borderId="0" pivotButton="0" quotePrefix="0" xfId="0"/>
    <xf numFmtId="167" fontId="6" fillId="3" borderId="0" pivotButton="0" quotePrefix="0" xfId="0"/>
    <xf numFmtId="0" fontId="7" fillId="0" borderId="0" pivotButton="0" quotePrefix="0" xfId="0"/>
    <xf numFmtId="1" fontId="8" fillId="3" borderId="0" pivotButton="0" quotePrefix="0" xfId="0"/>
    <xf numFmtId="0" fontId="7" fillId="0" borderId="0" applyAlignment="1" pivotButton="0" quotePrefix="0" xfId="0">
      <alignment horizontal="left" indent="1"/>
    </xf>
    <xf numFmtId="167" fontId="9" fillId="0" borderId="0" pivotButton="0" quotePrefix="0" xfId="0"/>
    <xf numFmtId="168" fontId="9" fillId="0" borderId="0" pivotButton="0" quotePrefix="0" xfId="0"/>
    <xf numFmtId="166" fontId="10" fillId="0" borderId="0" pivotButton="0" quotePrefix="0" xfId="0"/>
    <xf numFmtId="169" fontId="9" fillId="0" borderId="0" pivotButton="0" quotePrefix="0" xfId="0"/>
    <xf numFmtId="0" fontId="7" fillId="0" borderId="1" applyAlignment="1" pivotButton="0" quotePrefix="0" xfId="0">
      <alignment horizontal="left" vertical="bottom" wrapText="1"/>
    </xf>
    <xf numFmtId="0" fontId="7" fillId="0" borderId="1" applyAlignment="1" pivotButton="0" quotePrefix="0" xfId="0">
      <alignment horizontal="right" vertical="bottom" wrapText="1"/>
    </xf>
    <xf numFmtId="167" fontId="5" fillId="0" borderId="0" pivotButton="0" quotePrefix="0" xfId="0"/>
    <xf numFmtId="169" fontId="5" fillId="0" borderId="0" pivotButton="0" quotePrefix="0" xfId="0"/>
    <xf numFmtId="166" fontId="5" fillId="0" borderId="0" pivotButton="0" quotePrefix="0" xfId="0"/>
    <xf numFmtId="167" fontId="7" fillId="4" borderId="0" pivotButton="0" quotePrefix="0" xfId="0"/>
    <xf numFmtId="169" fontId="7" fillId="4" borderId="0" pivotButton="0" quotePrefix="0" xfId="0"/>
    <xf numFmtId="166" fontId="7" fillId="4" borderId="0" pivotButton="0" quotePrefix="0" xfId="0"/>
    <xf numFmtId="0" fontId="6" fillId="3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right"/>
    </xf>
    <xf numFmtId="167" fontId="7" fillId="0" borderId="2" pivotButton="0" quotePrefix="0" xfId="0"/>
    <xf numFmtId="0" fontId="13" fillId="0" borderId="0" pivotButton="0" quotePrefix="0" xfId="0"/>
    <xf numFmtId="167" fontId="13" fillId="4" borderId="0" pivotButton="0" quotePrefix="0" xfId="0"/>
    <xf numFmtId="1" fontId="10" fillId="0" borderId="0" pivotButton="0" quotePrefix="0" xfId="0"/>
    <xf numFmtId="0" fontId="10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169" fontId="6" fillId="3" borderId="0" pivotButton="0" quotePrefix="0" xfId="0"/>
    <xf numFmtId="1" fontId="6" fillId="3" borderId="0" pivotButton="0" quotePrefix="0" xfId="0"/>
    <xf numFmtId="167" fontId="14" fillId="0" borderId="0" pivotButton="0" quotePrefix="0" xfId="0"/>
    <xf numFmtId="167" fontId="7" fillId="0" borderId="0" pivotButton="0" quotePrefix="0" xfId="0"/>
    <xf numFmtId="170" fontId="5" fillId="0" borderId="0" pivotButton="0" quotePrefix="0" xfId="0"/>
    <xf numFmtId="170" fontId="9" fillId="0" borderId="0" pivotButton="0" quotePrefix="0" xfId="0"/>
    <xf numFmtId="0" fontId="5" fillId="0" borderId="0" applyAlignment="1" pivotButton="0" quotePrefix="0" xfId="0">
      <alignment indent="1"/>
    </xf>
    <xf numFmtId="167" fontId="8" fillId="3" borderId="0" pivotButton="0" quotePrefix="0" xfId="0"/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168" fontId="6" fillId="3" borderId="0" pivotButton="0" quotePrefix="0" xfId="0"/>
    <xf numFmtId="169" fontId="7" fillId="0" borderId="2" pivotButton="0" quotePrefix="0" xfId="0"/>
    <xf numFmtId="168" fontId="7" fillId="0" borderId="2" pivotButton="0" quotePrefix="0" xfId="0"/>
    <xf numFmtId="9" fontId="9" fillId="0" borderId="0" pivotButton="0" quotePrefix="0" xfId="0"/>
    <xf numFmtId="168" fontId="7" fillId="0" borderId="0" pivotButton="0" quotePrefix="0" xfId="0"/>
    <xf numFmtId="2" fontId="6" fillId="3" borderId="0" pivotButton="0" quotePrefix="0" xfId="0"/>
    <xf numFmtId="2" fontId="5" fillId="0" borderId="0" pivotButton="0" quotePrefix="0" xfId="0"/>
    <xf numFmtId="9" fontId="6" fillId="3" borderId="0" pivotButton="0" quotePrefix="0" xfId="0"/>
    <xf numFmtId="171" fontId="5" fillId="0" borderId="0" pivotButton="0" quotePrefix="0" xfId="0"/>
    <xf numFmtId="171" fontId="7" fillId="0" borderId="2" pivotButton="0" quotePrefix="0" xfId="0"/>
    <xf numFmtId="171" fontId="13" fillId="0" borderId="0" pivotButton="0" quotePrefix="0" xfId="0"/>
    <xf numFmtId="171" fontId="9" fillId="0" borderId="0" pivotButton="0" quotePrefix="0" xfId="0"/>
    <xf numFmtId="168" fontId="5" fillId="0" borderId="0" pivotButton="0" quotePrefix="0" xfId="0"/>
    <xf numFmtId="166" fontId="9" fillId="0" borderId="0" pivotButton="0" quotePrefix="0" xfId="0"/>
    <xf numFmtId="172" fontId="5" fillId="0" borderId="0" pivotButton="0" quotePrefix="0" xfId="0"/>
    <xf numFmtId="173" fontId="6" fillId="3" borderId="0" pivotButton="0" quotePrefix="0" xfId="0"/>
    <xf numFmtId="166" fontId="7" fillId="0" borderId="2" pivotButton="0" quotePrefix="0" xfId="0"/>
    <xf numFmtId="173" fontId="5" fillId="0" borderId="0" pivotButton="0" quotePrefix="0" xfId="0"/>
    <xf numFmtId="0" fontId="7" fillId="0" borderId="1" pivotButton="0" quotePrefix="0" xfId="0"/>
    <xf numFmtId="166" fontId="10" fillId="0" borderId="1" pivotButton="0" quotePrefix="0" xfId="0"/>
    <xf numFmtId="173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Torvik Flow Systems</t>
        </is>
      </c>
    </row>
    <row r="3">
      <c r="B3" s="2" t="inlineStr">
        <is>
          <t>Mid-cap industrial: pumps, valves and controls, aftermarket parts and service. A fictional company built for a two-hour DCF modeling test.</t>
        </is>
      </c>
    </row>
    <row r="5">
      <c r="B5" s="3" t="inlineStr">
        <is>
          <t>VALUATION SETUP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4" t="inlineStr">
        <is>
          <t>Valuation date</t>
        </is>
      </c>
      <c r="C6" s="5" t="n">
        <v>46022</v>
      </c>
    </row>
    <row r="7">
      <c r="B7" s="4" t="inlineStr">
        <is>
          <t>Fiscal year end</t>
        </is>
      </c>
      <c r="C7" s="6" t="inlineStr">
        <is>
          <t>December 31</t>
        </is>
      </c>
    </row>
    <row r="8">
      <c r="B8" s="4" t="inlineStr">
        <is>
          <t>Units</t>
        </is>
      </c>
      <c r="C8" s="6" t="inlineStr">
        <is>
          <t>$ millions, except per share data</t>
        </is>
      </c>
    </row>
    <row r="9">
      <c r="B9" s="4" t="inlineStr">
        <is>
          <t>Share price on the valuation date ($)</t>
        </is>
      </c>
      <c r="C9" s="7" t="n">
        <v>38</v>
      </c>
    </row>
    <row r="10">
      <c r="B10" s="4" t="inlineStr">
        <is>
          <t>Diluted shares (millions)</t>
        </is>
      </c>
      <c r="C10" s="8" t="n">
        <v>60</v>
      </c>
    </row>
    <row r="12">
      <c r="B12" s="3" t="inlineStr">
        <is>
          <t>SCENARIO SWITCH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9" t="inlineStr">
        <is>
          <t>Scenario switch (1 = Bear, 2 = Base, 3 = Bull)</t>
        </is>
      </c>
      <c r="C13" s="10" t="n">
        <v>2</v>
      </c>
      <c r="D13" s="11">
        <f>CHOOSE(C13,"Bear","Base","Bull")</f>
        <v/>
      </c>
    </row>
    <row r="14">
      <c r="B14" s="2" t="inlineStr">
        <is>
          <t>Every growth and margin assumption on the Inputs tab reads this cell through a CHOOSE. Flip it and nothing else changes.</t>
        </is>
      </c>
    </row>
    <row r="16">
      <c r="B16" s="3" t="inlineStr">
        <is>
          <t>OUTPUTS, LIVE FROM THE DCF TAB (CURRENT SCENARIO)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4" t="inlineStr">
        <is>
          <t>FY2030E revenue</t>
        </is>
      </c>
      <c r="C17" s="12">
        <f>DCF!J8</f>
        <v/>
      </c>
    </row>
    <row r="18">
      <c r="B18" s="4" t="inlineStr">
        <is>
          <t>FY2030E EBITDA</t>
        </is>
      </c>
      <c r="C18" s="12">
        <f>DCF!J17</f>
        <v/>
      </c>
    </row>
    <row r="19">
      <c r="B19" s="4" t="inlineStr">
        <is>
          <t>WACC</t>
        </is>
      </c>
      <c r="C19" s="13">
        <f>WACC!C17</f>
        <v/>
      </c>
    </row>
    <row r="20">
      <c r="B20" s="4" t="inlineStr">
        <is>
          <t>Enterprise value</t>
        </is>
      </c>
      <c r="C20" s="12">
        <f>DCF!C41</f>
        <v/>
      </c>
    </row>
    <row r="21">
      <c r="B21" s="9" t="inlineStr">
        <is>
          <t>Implied share price ($)</t>
        </is>
      </c>
      <c r="C21" s="14">
        <f>DCF!C48</f>
        <v/>
      </c>
    </row>
    <row r="22">
      <c r="B22" s="4" t="inlineStr">
        <is>
          <t>Implied upside / (downside) vs the current price</t>
        </is>
      </c>
      <c r="C22" s="15">
        <f>DCF!C50</f>
        <v/>
      </c>
    </row>
    <row r="24">
      <c r="B24" s="3" t="inlineStr">
        <is>
          <t>SCENARIO SUMMARY (data table on the switch cell; values shown)</t>
        </is>
      </c>
      <c r="C24" s="3" t="n"/>
      <c r="D24" s="3" t="n"/>
      <c r="E24" s="3" t="n"/>
      <c r="F24" s="3" t="n"/>
      <c r="G24" s="3" t="n"/>
      <c r="H24" s="3" t="n"/>
      <c r="I24" s="3" t="n"/>
    </row>
    <row r="25" ht="28" customHeight="1">
      <c r="B25" s="16" t="inlineStr">
        <is>
          <t>Scenario</t>
        </is>
      </c>
      <c r="C25" s="17" t="inlineStr">
        <is>
          <t>FY2030E revenue</t>
        </is>
      </c>
      <c r="D25" s="17" t="inlineStr">
        <is>
          <t>FY2030E EBITDA margin</t>
        </is>
      </c>
      <c r="E25" s="17" t="inlineStr">
        <is>
          <t>FY2030E EBITDA</t>
        </is>
      </c>
      <c r="F25" s="17" t="inlineStr">
        <is>
          <t>FY2030E UFCF</t>
        </is>
      </c>
      <c r="G25" s="17" t="inlineStr">
        <is>
          <t>Enterprise value</t>
        </is>
      </c>
      <c r="H25" s="17" t="inlineStr">
        <is>
          <t>Implied share price</t>
        </is>
      </c>
      <c r="I25" s="17" t="inlineStr">
        <is>
          <t>vs $38.00</t>
        </is>
      </c>
    </row>
    <row r="26">
      <c r="B26" s="4" t="inlineStr">
        <is>
          <t>Bear</t>
        </is>
      </c>
      <c r="C26" s="18" t="n">
        <v>1514.234007948</v>
      </c>
      <c r="D26" s="19" t="n">
        <v>0.1680000000000001</v>
      </c>
      <c r="E26" s="18" t="n">
        <v>254.3913133352642</v>
      </c>
      <c r="F26" s="18" t="n">
        <v>134.8481783165118</v>
      </c>
      <c r="G26" s="18" t="n">
        <v>2080.954408659963</v>
      </c>
      <c r="H26" s="20" t="n">
        <v>29.43257347766605</v>
      </c>
      <c r="I26" s="19" t="n">
        <v>-0.2254585926929987</v>
      </c>
    </row>
    <row r="27">
      <c r="B27" s="9" t="inlineStr">
        <is>
          <t>Base</t>
        </is>
      </c>
      <c r="C27" s="21" t="n">
        <v>1712.900888376</v>
      </c>
      <c r="D27" s="22" t="n">
        <v>0.19</v>
      </c>
      <c r="E27" s="21" t="n">
        <v>325.45116879144</v>
      </c>
      <c r="F27" s="21" t="n">
        <v>178.1441666314158</v>
      </c>
      <c r="G27" s="21" t="n">
        <v>2622.207822308314</v>
      </c>
      <c r="H27" s="23" t="n">
        <v>38.45346370513856</v>
      </c>
      <c r="I27" s="22" t="n">
        <v>0.01193325539838308</v>
      </c>
    </row>
    <row r="28">
      <c r="B28" s="4" t="inlineStr">
        <is>
          <t>Bull</t>
        </is>
      </c>
      <c r="C28" s="18" t="n">
        <v>1865.08784952</v>
      </c>
      <c r="D28" s="19" t="n">
        <v>0.206</v>
      </c>
      <c r="E28" s="18" t="n">
        <v>384.20809700112</v>
      </c>
      <c r="F28" s="18" t="n">
        <v>212.2095811541252</v>
      </c>
      <c r="G28" s="18" t="n">
        <v>3061.880427490948</v>
      </c>
      <c r="H28" s="20" t="n">
        <v>45.78134045818247</v>
      </c>
      <c r="I28" s="19" t="n">
        <v>0.2047721173205914</v>
      </c>
    </row>
    <row r="30">
      <c r="B30" s="3" t="inlineStr">
        <is>
          <t>COLOR KEY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B31" s="24" t="inlineStr">
        <is>
          <t>Blue on pale yellow: typed input (the pack's numbers and the assumptions)</t>
        </is>
      </c>
    </row>
    <row r="32">
      <c r="B32" s="4" t="inlineStr">
        <is>
          <t>Black: formula</t>
        </is>
      </c>
    </row>
    <row r="33">
      <c r="B33" s="25" t="inlineStr">
        <is>
          <t>Green: link to another tab</t>
        </is>
      </c>
    </row>
    <row r="35">
      <c r="B35" s="3" t="inlineStr">
        <is>
          <t>TABS, IN BUILD ORDER</t>
        </is>
      </c>
      <c r="C35" s="3" t="n"/>
      <c r="D35" s="3" t="n"/>
      <c r="E35" s="3" t="n"/>
      <c r="F35" s="3" t="n"/>
      <c r="G35" s="3" t="n"/>
      <c r="H35" s="3" t="n"/>
      <c r="I35" s="3" t="n"/>
    </row>
    <row r="36">
      <c r="B36" s="9" t="inlineStr">
        <is>
          <t>Inputs</t>
        </is>
      </c>
      <c r="C36" s="26" t="inlineStr">
        <is>
          <t>historical income statement and ratios, segment build, assumptions block (Bear / Base / Bull)</t>
        </is>
      </c>
    </row>
    <row r="37">
      <c r="B37" s="9" t="inlineStr">
        <is>
          <t>Schedules</t>
        </is>
      </c>
      <c r="C37" s="26" t="inlineStr">
        <is>
          <t>working capital by days, PP&amp;E roll-forward</t>
        </is>
      </c>
    </row>
    <row r="38">
      <c r="B38" s="9" t="inlineStr">
        <is>
          <t>Cost of debt</t>
        </is>
      </c>
      <c r="C38" s="26" t="inlineStr">
        <is>
          <t>tranches, weights, weighted pre-tax and after-tax cost</t>
        </is>
      </c>
    </row>
    <row r="39">
      <c r="B39" s="9" t="inlineStr">
        <is>
          <t>Beta</t>
        </is>
      </c>
      <c r="C39" s="26" t="inlineStr">
        <is>
          <t>peer betas unlevered, median, relevered for Torvik</t>
        </is>
      </c>
    </row>
    <row r="40">
      <c r="B40" s="9" t="inlineStr">
        <is>
          <t>WACC</t>
        </is>
      </c>
      <c r="C40" s="26" t="inlineStr">
        <is>
          <t>cost of equity by CAPM, after-tax cost of debt, market value weights</t>
        </is>
      </c>
    </row>
    <row r="41">
      <c r="B41" s="9" t="inlineStr">
        <is>
          <t>DCF</t>
        </is>
      </c>
      <c r="C41" s="26" t="inlineStr">
        <is>
          <t>operating build, unlevered free cash flow, present values, terminal value, bridge to share price</t>
        </is>
      </c>
    </row>
    <row r="42">
      <c r="B42" s="9" t="inlineStr">
        <is>
          <t>Sensitivity</t>
        </is>
      </c>
      <c r="C42" s="26" t="inlineStr">
        <is>
          <t>implied share price, WACC down and exit multiple across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44" customWidth="1" min="9" max="9"/>
  </cols>
  <sheetData>
    <row r="1">
      <c r="B1" s="27" t="inlineStr">
        <is>
          <t>Torvik Flow Systems: Inputs</t>
        </is>
      </c>
    </row>
    <row r="2">
      <c r="B2" s="2" t="inlineStr">
        <is>
          <t>$ millions, except per share data. Fiscal year ends December 31.</t>
        </is>
      </c>
    </row>
    <row r="4">
      <c r="B4" s="3" t="inlineStr">
        <is>
          <t>HISTORICAL INCOME STATEMENT AND RATIOS</t>
        </is>
      </c>
      <c r="C4" s="28" t="inlineStr">
        <is>
          <t>2023A</t>
        </is>
      </c>
      <c r="D4" s="28" t="inlineStr">
        <is>
          <t>2024A</t>
        </is>
      </c>
      <c r="E4" s="28" t="inlineStr">
        <is>
          <t>2025A</t>
        </is>
      </c>
    </row>
    <row r="5">
      <c r="B5" s="4" t="inlineStr">
        <is>
          <t>Revenue</t>
        </is>
      </c>
      <c r="C5" s="8" t="n">
        <v>1210</v>
      </c>
      <c r="D5" s="8" t="n">
        <v>1276</v>
      </c>
      <c r="E5" s="8" t="n">
        <v>1350</v>
      </c>
    </row>
    <row r="6">
      <c r="B6" s="4" t="inlineStr">
        <is>
          <t>Cost of sales</t>
        </is>
      </c>
      <c r="C6" s="8" t="n">
        <v>-810</v>
      </c>
      <c r="D6" s="8" t="n">
        <v>-845</v>
      </c>
      <c r="E6" s="8" t="n">
        <v>-884</v>
      </c>
    </row>
    <row r="7">
      <c r="B7" s="9" t="inlineStr">
        <is>
          <t>Gross profit</t>
        </is>
      </c>
      <c r="C7" s="29">
        <f>SUM(C5:C6)</f>
        <v/>
      </c>
      <c r="D7" s="29">
        <f>SUM(D5:D6)</f>
        <v/>
      </c>
      <c r="E7" s="29">
        <f>SUM(E5:E6)</f>
        <v/>
      </c>
    </row>
    <row r="8">
      <c r="B8" s="4" t="inlineStr">
        <is>
          <t>SG&amp;A</t>
        </is>
      </c>
      <c r="C8" s="8" t="n">
        <v>-250</v>
      </c>
      <c r="D8" s="8" t="n">
        <v>-260</v>
      </c>
      <c r="E8" s="8" t="n">
        <v>-270</v>
      </c>
    </row>
    <row r="9">
      <c r="B9" s="9" t="inlineStr">
        <is>
          <t>EBIT</t>
        </is>
      </c>
      <c r="C9" s="29">
        <f>SUM(C7:C8)</f>
        <v/>
      </c>
      <c r="D9" s="29">
        <f>SUM(D7:D8)</f>
        <v/>
      </c>
      <c r="E9" s="29">
        <f>SUM(E7:E8)</f>
        <v/>
      </c>
    </row>
    <row r="10">
      <c r="B10" s="4" t="inlineStr">
        <is>
          <t>Interest expense</t>
        </is>
      </c>
      <c r="C10" s="8" t="n">
        <v>-24</v>
      </c>
      <c r="D10" s="8" t="n">
        <v>-24</v>
      </c>
      <c r="E10" s="8" t="n">
        <v>-24</v>
      </c>
    </row>
    <row r="11">
      <c r="B11" s="9" t="inlineStr">
        <is>
          <t>Pretax income</t>
        </is>
      </c>
      <c r="C11" s="29">
        <f>SUM(C9:C10)</f>
        <v/>
      </c>
      <c r="D11" s="29">
        <f>SUM(D9:D10)</f>
        <v/>
      </c>
      <c r="E11" s="29">
        <f>SUM(E9:E10)</f>
        <v/>
      </c>
    </row>
    <row r="12">
      <c r="B12" s="4" t="inlineStr">
        <is>
          <t>Taxes</t>
        </is>
      </c>
      <c r="C12" s="8" t="n">
        <v>-31.5</v>
      </c>
      <c r="D12" s="8" t="n">
        <v>-36.75</v>
      </c>
      <c r="E12" s="8" t="n">
        <v>-43</v>
      </c>
    </row>
    <row r="13">
      <c r="B13" s="9" t="inlineStr">
        <is>
          <t>Net income</t>
        </is>
      </c>
      <c r="C13" s="29">
        <f>SUM(C11:C12)</f>
        <v/>
      </c>
      <c r="D13" s="29">
        <f>SUM(D11:D12)</f>
        <v/>
      </c>
      <c r="E13" s="29">
        <f>SUM(E11:E12)</f>
        <v/>
      </c>
    </row>
    <row r="14">
      <c r="B14" s="4" t="inlineStr">
        <is>
          <t>Diluted shares (millions)</t>
        </is>
      </c>
      <c r="C14" s="8" t="n">
        <v>60</v>
      </c>
      <c r="D14" s="8" t="n">
        <v>60</v>
      </c>
      <c r="E14" s="8" t="n">
        <v>60</v>
      </c>
    </row>
    <row r="15">
      <c r="B15" s="4" t="inlineStr">
        <is>
          <t>Diluted EPS ($)</t>
        </is>
      </c>
      <c r="C15" s="20">
        <f>C13/C14</f>
        <v/>
      </c>
      <c r="D15" s="20">
        <f>D13/D14</f>
        <v/>
      </c>
      <c r="E15" s="20">
        <f>E13/E14</f>
        <v/>
      </c>
    </row>
    <row r="16">
      <c r="B16" s="4" t="inlineStr">
        <is>
          <t>Revenue growth</t>
        </is>
      </c>
      <c r="D16" s="19">
        <f>D5/C5-1</f>
        <v/>
      </c>
      <c r="E16" s="19">
        <f>E5/D5-1</f>
        <v/>
      </c>
    </row>
    <row r="17">
      <c r="B17" s="4" t="inlineStr">
        <is>
          <t>Gross margin</t>
        </is>
      </c>
      <c r="C17" s="19">
        <f>C7/C5</f>
        <v/>
      </c>
      <c r="D17" s="19">
        <f>D7/D5</f>
        <v/>
      </c>
      <c r="E17" s="19">
        <f>E7/E5</f>
        <v/>
      </c>
    </row>
    <row r="18">
      <c r="B18" s="4" t="inlineStr">
        <is>
          <t>SG&amp;A as a percent of revenue</t>
        </is>
      </c>
      <c r="C18" s="19">
        <f>-C8/C5</f>
        <v/>
      </c>
      <c r="D18" s="19">
        <f>-D8/D5</f>
        <v/>
      </c>
      <c r="E18" s="19">
        <f>-E8/E5</f>
        <v/>
      </c>
    </row>
    <row r="19">
      <c r="B19" s="4" t="inlineStr">
        <is>
          <t>EBIT margin</t>
        </is>
      </c>
      <c r="C19" s="19">
        <f>C9/C5</f>
        <v/>
      </c>
      <c r="D19" s="19">
        <f>D9/D5</f>
        <v/>
      </c>
      <c r="E19" s="19">
        <f>E9/E5</f>
        <v/>
      </c>
    </row>
    <row r="20">
      <c r="B20" s="4" t="inlineStr">
        <is>
          <t>Effective tax rate</t>
        </is>
      </c>
      <c r="C20" s="19">
        <f>-C12/C11</f>
        <v/>
      </c>
      <c r="D20" s="19">
        <f>-D12/D11</f>
        <v/>
      </c>
      <c r="E20" s="19">
        <f>-E12/E11</f>
        <v/>
      </c>
    </row>
    <row r="21">
      <c r="B21" s="4" t="inlineStr">
        <is>
          <t>D&amp;A (from the cash flow statement)</t>
        </is>
      </c>
      <c r="C21" s="8" t="n">
        <v>40</v>
      </c>
      <c r="D21" s="8" t="n">
        <v>42</v>
      </c>
      <c r="E21" s="8" t="n">
        <v>44</v>
      </c>
    </row>
    <row r="22">
      <c r="B22" s="9" t="inlineStr">
        <is>
          <t>EBITDA</t>
        </is>
      </c>
      <c r="C22" s="29">
        <f>C9+C21</f>
        <v/>
      </c>
      <c r="D22" s="29">
        <f>D9+D21</f>
        <v/>
      </c>
      <c r="E22" s="29">
        <f>E9+E21</f>
        <v/>
      </c>
    </row>
    <row r="23">
      <c r="B23" s="4" t="inlineStr">
        <is>
          <t>EBITDA margin</t>
        </is>
      </c>
      <c r="C23" s="19">
        <f>C22/C5</f>
        <v/>
      </c>
      <c r="D23" s="19">
        <f>D22/D5</f>
        <v/>
      </c>
      <c r="E23" s="19">
        <f>E22/E5</f>
        <v/>
      </c>
    </row>
    <row r="24">
      <c r="B24" s="4" t="inlineStr">
        <is>
          <t>Capex (from the cash flow statement)</t>
        </is>
      </c>
      <c r="C24" s="8" t="n">
        <v>48</v>
      </c>
      <c r="D24" s="8" t="n">
        <v>50</v>
      </c>
      <c r="E24" s="8" t="n">
        <v>54</v>
      </c>
    </row>
    <row r="26">
      <c r="B26" s="3" t="inlineStr">
        <is>
          <t>SEGMENT REVENUE BUILD</t>
        </is>
      </c>
      <c r="C26" s="28" t="inlineStr">
        <is>
          <t>2023A</t>
        </is>
      </c>
      <c r="D26" s="28" t="inlineStr">
        <is>
          <t>2024A</t>
        </is>
      </c>
      <c r="E26" s="28" t="inlineStr">
        <is>
          <t>2025A</t>
        </is>
      </c>
    </row>
    <row r="27">
      <c r="B27" s="4" t="inlineStr">
        <is>
          <t>Pumps</t>
        </is>
      </c>
      <c r="C27" s="8" t="n">
        <v>530</v>
      </c>
      <c r="D27" s="8" t="n">
        <v>548</v>
      </c>
      <c r="E27" s="8" t="n">
        <v>570</v>
      </c>
    </row>
    <row r="28">
      <c r="B28" s="4" t="inlineStr">
        <is>
          <t>Valves and Controls</t>
        </is>
      </c>
      <c r="C28" s="8" t="n">
        <v>385</v>
      </c>
      <c r="D28" s="8" t="n">
        <v>406</v>
      </c>
      <c r="E28" s="8" t="n">
        <v>430</v>
      </c>
    </row>
    <row r="29">
      <c r="B29" s="4" t="inlineStr">
        <is>
          <t>Aftermarket Parts and Service</t>
        </is>
      </c>
      <c r="C29" s="8" t="n">
        <v>295</v>
      </c>
      <c r="D29" s="8" t="n">
        <v>322</v>
      </c>
      <c r="E29" s="8" t="n">
        <v>350</v>
      </c>
    </row>
    <row r="30">
      <c r="B30" s="9" t="inlineStr">
        <is>
          <t>Total revenue</t>
        </is>
      </c>
      <c r="C30" s="29">
        <f>SUM(C27:C29)</f>
        <v/>
      </c>
      <c r="D30" s="29">
        <f>SUM(D27:D29)</f>
        <v/>
      </c>
      <c r="E30" s="29">
        <f>SUM(E27:E29)</f>
        <v/>
      </c>
    </row>
    <row r="31">
      <c r="B31" s="30" t="inlineStr">
        <is>
          <t>Check: segment total minus reported revenue (should read 0.0)</t>
        </is>
      </c>
      <c r="C31" s="31">
        <f>C30-C5</f>
        <v/>
      </c>
      <c r="D31" s="31">
        <f>D30-D5</f>
        <v/>
      </c>
      <c r="E31" s="31">
        <f>E30-E5</f>
        <v/>
      </c>
    </row>
    <row r="32">
      <c r="B32" s="4" t="inlineStr">
        <is>
          <t>Pumps growth</t>
        </is>
      </c>
      <c r="D32" s="19">
        <f>D27/C27-1</f>
        <v/>
      </c>
      <c r="E32" s="19">
        <f>E27/D27-1</f>
        <v/>
      </c>
    </row>
    <row r="33">
      <c r="B33" s="4" t="inlineStr">
        <is>
          <t>Valves and Controls growth</t>
        </is>
      </c>
      <c r="D33" s="19">
        <f>D28/C28-1</f>
        <v/>
      </c>
      <c r="E33" s="19">
        <f>E28/D28-1</f>
        <v/>
      </c>
    </row>
    <row r="34">
      <c r="B34" s="4" t="inlineStr">
        <is>
          <t>Aftermarket Parts and Service growth</t>
        </is>
      </c>
      <c r="D34" s="19">
        <f>D29/C29-1</f>
        <v/>
      </c>
      <c r="E34" s="19">
        <f>E29/D29-1</f>
        <v/>
      </c>
    </row>
    <row r="35">
      <c r="B35" s="4" t="inlineStr">
        <is>
          <t>Pumps mix</t>
        </is>
      </c>
      <c r="C35" s="19">
        <f>C27/C$30</f>
        <v/>
      </c>
      <c r="D35" s="19">
        <f>D27/D$30</f>
        <v/>
      </c>
      <c r="E35" s="19">
        <f>E27/E$30</f>
        <v/>
      </c>
    </row>
    <row r="36">
      <c r="B36" s="4" t="inlineStr">
        <is>
          <t>Valves and Controls mix</t>
        </is>
      </c>
      <c r="C36" s="19">
        <f>C28/C$30</f>
        <v/>
      </c>
      <c r="D36" s="19">
        <f>D28/D$30</f>
        <v/>
      </c>
      <c r="E36" s="19">
        <f>E28/E$30</f>
        <v/>
      </c>
    </row>
    <row r="37">
      <c r="B37" s="4" t="inlineStr">
        <is>
          <t>Aftermarket Parts and Service mix</t>
        </is>
      </c>
      <c r="C37" s="19">
        <f>C29/C$30</f>
        <v/>
      </c>
      <c r="D37" s="19">
        <f>D29/D$30</f>
        <v/>
      </c>
      <c r="E37" s="19">
        <f>E29/E$30</f>
        <v/>
      </c>
    </row>
    <row r="39">
      <c r="B39" s="3" t="inlineStr">
        <is>
          <t>ASSUMPTIONS: BEAR, BASE, BULL AND LIVE ROWS</t>
        </is>
      </c>
      <c r="C39" s="28" t="inlineStr">
        <is>
          <t>2026E</t>
        </is>
      </c>
      <c r="D39" s="28" t="inlineStr">
        <is>
          <t>2027E</t>
        </is>
      </c>
      <c r="E39" s="28" t="inlineStr">
        <is>
          <t>2028E</t>
        </is>
      </c>
      <c r="F39" s="28" t="inlineStr">
        <is>
          <t>2029E</t>
        </is>
      </c>
      <c r="G39" s="28" t="inlineStr">
        <is>
          <t>2030E</t>
        </is>
      </c>
      <c r="H39" s="3" t="n"/>
      <c r="I39" s="3" t="inlineStr">
        <is>
          <t>Formula in the 2026E column</t>
        </is>
      </c>
    </row>
    <row r="40">
      <c r="B40" s="9" t="inlineStr">
        <is>
          <t>Scenario switch (from Cover: 1 = Bear, 2 = Base, 3 = Bull)</t>
        </is>
      </c>
      <c r="C40" s="32">
        <f>Cover!C13</f>
        <v/>
      </c>
      <c r="D40" s="33">
        <f>Cover!D13</f>
        <v/>
      </c>
      <c r="I40" s="34" t="inlineStr">
        <is>
          <t>=Cover!C13   (one cell, read by every live row)</t>
        </is>
      </c>
    </row>
    <row r="41">
      <c r="B41" s="4" t="inlineStr">
        <is>
          <t>Pumps growth, Bear</t>
        </is>
      </c>
      <c r="C41" s="35" t="n">
        <v>0.01</v>
      </c>
      <c r="D41" s="35" t="n">
        <v>0</v>
      </c>
      <c r="E41" s="35" t="n">
        <v>0.01</v>
      </c>
      <c r="F41" s="35" t="n">
        <v>0.02</v>
      </c>
      <c r="G41" s="35" t="n">
        <v>0.02</v>
      </c>
    </row>
    <row r="42">
      <c r="B42" s="4" t="inlineStr">
        <is>
          <t>Pumps growth, Base</t>
        </is>
      </c>
      <c r="C42" s="35" t="n">
        <v>0.04</v>
      </c>
      <c r="D42" s="35" t="n">
        <v>0.04</v>
      </c>
      <c r="E42" s="35" t="n">
        <v>0.035</v>
      </c>
      <c r="F42" s="35" t="n">
        <v>0.035</v>
      </c>
      <c r="G42" s="35" t="n">
        <v>0.03</v>
      </c>
    </row>
    <row r="43">
      <c r="B43" s="4" t="inlineStr">
        <is>
          <t>Pumps growth, Bull</t>
        </is>
      </c>
      <c r="C43" s="35" t="n">
        <v>0.06</v>
      </c>
      <c r="D43" s="35" t="n">
        <v>0.06</v>
      </c>
      <c r="E43" s="35" t="n">
        <v>0.05</v>
      </c>
      <c r="F43" s="35" t="n">
        <v>0.05</v>
      </c>
      <c r="G43" s="35" t="n">
        <v>0.04</v>
      </c>
    </row>
    <row r="44">
      <c r="B44" s="9" t="inlineStr">
        <is>
          <t>Pumps growth, live</t>
        </is>
      </c>
      <c r="C44" s="22">
        <f>CHOOSE($C$40,C41,C42,C43)</f>
        <v/>
      </c>
      <c r="D44" s="22">
        <f>CHOOSE($C$40,D41,D42,D43)</f>
        <v/>
      </c>
      <c r="E44" s="22">
        <f>CHOOSE($C$40,E41,E42,E43)</f>
        <v/>
      </c>
      <c r="F44" s="22">
        <f>CHOOSE($C$40,F41,F42,F43)</f>
        <v/>
      </c>
      <c r="G44" s="22">
        <f>CHOOSE($C$40,G41,G42,G43)</f>
        <v/>
      </c>
      <c r="I44" s="34" t="inlineStr">
        <is>
          <t>=CHOOSE($C$40,C41,C42,C43)</t>
        </is>
      </c>
    </row>
    <row r="45">
      <c r="B45" s="4" t="inlineStr">
        <is>
          <t>Valves and Controls growth, Bear</t>
        </is>
      </c>
      <c r="C45" s="35" t="n">
        <v>0.02</v>
      </c>
      <c r="D45" s="35" t="n">
        <v>0.01</v>
      </c>
      <c r="E45" s="35" t="n">
        <v>0.02</v>
      </c>
      <c r="F45" s="35" t="n">
        <v>0.03</v>
      </c>
      <c r="G45" s="35" t="n">
        <v>0.03</v>
      </c>
    </row>
    <row r="46">
      <c r="B46" s="4" t="inlineStr">
        <is>
          <t>Valves and Controls growth, Base</t>
        </is>
      </c>
      <c r="C46" s="35" t="n">
        <v>0.06</v>
      </c>
      <c r="D46" s="35" t="n">
        <v>0.055</v>
      </c>
      <c r="E46" s="35" t="n">
        <v>0.05</v>
      </c>
      <c r="F46" s="35" t="n">
        <v>0.045</v>
      </c>
      <c r="G46" s="35" t="n">
        <v>0.04</v>
      </c>
    </row>
    <row r="47">
      <c r="B47" s="4" t="inlineStr">
        <is>
          <t>Valves and Controls growth, Bull</t>
        </is>
      </c>
      <c r="C47" s="35" t="n">
        <v>0.08</v>
      </c>
      <c r="D47" s="35" t="n">
        <v>0.08</v>
      </c>
      <c r="E47" s="35" t="n">
        <v>0.07000000000000001</v>
      </c>
      <c r="F47" s="35" t="n">
        <v>0.06</v>
      </c>
      <c r="G47" s="35" t="n">
        <v>0.05</v>
      </c>
    </row>
    <row r="48">
      <c r="B48" s="9" t="inlineStr">
        <is>
          <t>Valves and Controls growth, live</t>
        </is>
      </c>
      <c r="C48" s="22">
        <f>CHOOSE($C$40,C45,C46,C47)</f>
        <v/>
      </c>
      <c r="D48" s="22">
        <f>CHOOSE($C$40,D45,D46,D47)</f>
        <v/>
      </c>
      <c r="E48" s="22">
        <f>CHOOSE($C$40,E45,E46,E47)</f>
        <v/>
      </c>
      <c r="F48" s="22">
        <f>CHOOSE($C$40,F45,F46,F47)</f>
        <v/>
      </c>
      <c r="G48" s="22">
        <f>CHOOSE($C$40,G45,G46,G47)</f>
        <v/>
      </c>
      <c r="I48" s="34" t="inlineStr">
        <is>
          <t>=CHOOSE($C$40,C45,C46,C47)</t>
        </is>
      </c>
    </row>
    <row r="49">
      <c r="B49" s="4" t="inlineStr">
        <is>
          <t>Aftermarket Parts and Service growth, Bear</t>
        </is>
      </c>
      <c r="C49" s="35" t="n">
        <v>0.05</v>
      </c>
      <c r="D49" s="35" t="n">
        <v>0.04</v>
      </c>
      <c r="E49" s="35" t="n">
        <v>0.04</v>
      </c>
      <c r="F49" s="35" t="n">
        <v>0.04</v>
      </c>
      <c r="G49" s="35" t="n">
        <v>0.04</v>
      </c>
    </row>
    <row r="50">
      <c r="B50" s="4" t="inlineStr">
        <is>
          <t>Aftermarket Parts and Service growth, Base</t>
        </is>
      </c>
      <c r="C50" s="35" t="n">
        <v>0.08</v>
      </c>
      <c r="D50" s="35" t="n">
        <v>0.075</v>
      </c>
      <c r="E50" s="35" t="n">
        <v>0.07000000000000001</v>
      </c>
      <c r="F50" s="35" t="n">
        <v>0.06</v>
      </c>
      <c r="G50" s="35" t="n">
        <v>0.05</v>
      </c>
    </row>
    <row r="51">
      <c r="B51" s="4" t="inlineStr">
        <is>
          <t>Aftermarket Parts and Service growth, Bull</t>
        </is>
      </c>
      <c r="C51" s="35" t="n">
        <v>0.1</v>
      </c>
      <c r="D51" s="35" t="n">
        <v>0.1</v>
      </c>
      <c r="E51" s="35" t="n">
        <v>0.09</v>
      </c>
      <c r="F51" s="35" t="n">
        <v>0.08</v>
      </c>
      <c r="G51" s="35" t="n">
        <v>0.07000000000000001</v>
      </c>
    </row>
    <row r="52">
      <c r="B52" s="9" t="inlineStr">
        <is>
          <t>Aftermarket Parts and Service growth, live</t>
        </is>
      </c>
      <c r="C52" s="22">
        <f>CHOOSE($C$40,C49,C50,C51)</f>
        <v/>
      </c>
      <c r="D52" s="22">
        <f>CHOOSE($C$40,D49,D50,D51)</f>
        <v/>
      </c>
      <c r="E52" s="22">
        <f>CHOOSE($C$40,E49,E50,E51)</f>
        <v/>
      </c>
      <c r="F52" s="22">
        <f>CHOOSE($C$40,F49,F50,F51)</f>
        <v/>
      </c>
      <c r="G52" s="22">
        <f>CHOOSE($C$40,G49,G50,G51)</f>
        <v/>
      </c>
      <c r="I52" s="34" t="inlineStr">
        <is>
          <t>=CHOOSE($C$40,C49,C50,C51)</t>
        </is>
      </c>
    </row>
    <row r="53">
      <c r="B53" s="4" t="inlineStr">
        <is>
          <t>Gross margin, Bear</t>
        </is>
      </c>
      <c r="C53" s="35" t="n">
        <v>0.34</v>
      </c>
      <c r="D53" s="35" t="n">
        <v>0.34</v>
      </c>
      <c r="E53" s="35" t="n">
        <v>0.34</v>
      </c>
      <c r="F53" s="35" t="n">
        <v>0.34</v>
      </c>
      <c r="G53" s="35" t="n">
        <v>0.34</v>
      </c>
    </row>
    <row r="54">
      <c r="B54" s="4" t="inlineStr">
        <is>
          <t>Gross margin, Base</t>
        </is>
      </c>
      <c r="C54" s="35" t="n">
        <v>0.348</v>
      </c>
      <c r="D54" s="35" t="n">
        <v>0.35</v>
      </c>
      <c r="E54" s="35" t="n">
        <v>0.352</v>
      </c>
      <c r="F54" s="35" t="n">
        <v>0.354</v>
      </c>
      <c r="G54" s="35" t="n">
        <v>0.355</v>
      </c>
    </row>
    <row r="55">
      <c r="B55" s="4" t="inlineStr">
        <is>
          <t>Gross margin, Bull</t>
        </is>
      </c>
      <c r="C55" s="35" t="n">
        <v>0.35</v>
      </c>
      <c r="D55" s="35" t="n">
        <v>0.355</v>
      </c>
      <c r="E55" s="35" t="n">
        <v>0.36</v>
      </c>
      <c r="F55" s="35" t="n">
        <v>0.365</v>
      </c>
      <c r="G55" s="35" t="n">
        <v>0.365</v>
      </c>
    </row>
    <row r="56">
      <c r="B56" s="9" t="inlineStr">
        <is>
          <t>Gross margin, live</t>
        </is>
      </c>
      <c r="C56" s="22">
        <f>CHOOSE($C$40,C53,C54,C55)</f>
        <v/>
      </c>
      <c r="D56" s="22">
        <f>CHOOSE($C$40,D53,D54,D55)</f>
        <v/>
      </c>
      <c r="E56" s="22">
        <f>CHOOSE($C$40,E53,E54,E55)</f>
        <v/>
      </c>
      <c r="F56" s="22">
        <f>CHOOSE($C$40,F53,F54,F55)</f>
        <v/>
      </c>
      <c r="G56" s="22">
        <f>CHOOSE($C$40,G53,G54,G55)</f>
        <v/>
      </c>
      <c r="I56" s="34" t="inlineStr">
        <is>
          <t>=CHOOSE($C$40,C53,C54,C55)</t>
        </is>
      </c>
    </row>
    <row r="57">
      <c r="B57" s="4" t="inlineStr">
        <is>
          <t>SG&amp;A as a percent of revenue, Bear</t>
        </is>
      </c>
      <c r="C57" s="35" t="n">
        <v>0.205</v>
      </c>
      <c r="D57" s="35" t="n">
        <v>0.205</v>
      </c>
      <c r="E57" s="35" t="n">
        <v>0.205</v>
      </c>
      <c r="F57" s="35" t="n">
        <v>0.205</v>
      </c>
      <c r="G57" s="35" t="n">
        <v>0.205</v>
      </c>
    </row>
    <row r="58">
      <c r="B58" s="4" t="inlineStr">
        <is>
          <t>SG&amp;A as a percent of revenue, Base</t>
        </is>
      </c>
      <c r="C58" s="35" t="n">
        <v>0.2</v>
      </c>
      <c r="D58" s="35" t="n">
        <v>0.199</v>
      </c>
      <c r="E58" s="35" t="n">
        <v>0.198</v>
      </c>
      <c r="F58" s="35" t="n">
        <v>0.198</v>
      </c>
      <c r="G58" s="35" t="n">
        <v>0.198</v>
      </c>
    </row>
    <row r="59">
      <c r="B59" s="4" t="inlineStr">
        <is>
          <t>SG&amp;A as a percent of revenue, Bull</t>
        </is>
      </c>
      <c r="C59" s="35" t="n">
        <v>0.195</v>
      </c>
      <c r="D59" s="35" t="n">
        <v>0.194</v>
      </c>
      <c r="E59" s="35" t="n">
        <v>0.193</v>
      </c>
      <c r="F59" s="35" t="n">
        <v>0.192</v>
      </c>
      <c r="G59" s="35" t="n">
        <v>0.192</v>
      </c>
    </row>
    <row r="60">
      <c r="B60" s="9" t="inlineStr">
        <is>
          <t>SG&amp;A as a percent of revenue, live</t>
        </is>
      </c>
      <c r="C60" s="22">
        <f>CHOOSE($C$40,C57,C58,C59)</f>
        <v/>
      </c>
      <c r="D60" s="22">
        <f>CHOOSE($C$40,D57,D58,D59)</f>
        <v/>
      </c>
      <c r="E60" s="22">
        <f>CHOOSE($C$40,E57,E58,E59)</f>
        <v/>
      </c>
      <c r="F60" s="22">
        <f>CHOOSE($C$40,F57,F58,F59)</f>
        <v/>
      </c>
      <c r="G60" s="22">
        <f>CHOOSE($C$40,G57,G58,G59)</f>
        <v/>
      </c>
      <c r="I60" s="34" t="inlineStr">
        <is>
          <t>=CHOOSE($C$40,C57,C58,C59)</t>
        </is>
      </c>
    </row>
    <row r="61">
      <c r="B61" s="4" t="inlineStr">
        <is>
          <t>D&amp;A as a percent of revenue (all cases)</t>
        </is>
      </c>
      <c r="C61" s="35" t="n">
        <v>0.033</v>
      </c>
      <c r="D61" s="35" t="n">
        <v>0.033</v>
      </c>
      <c r="E61" s="35" t="n">
        <v>0.033</v>
      </c>
      <c r="F61" s="35" t="n">
        <v>0.033</v>
      </c>
      <c r="G61" s="35" t="n">
        <v>0.033</v>
      </c>
    </row>
    <row r="62">
      <c r="B62" s="4" t="inlineStr">
        <is>
          <t>Capex as a percent of revenue (all cases)</t>
        </is>
      </c>
      <c r="C62" s="35" t="n">
        <v>0.04</v>
      </c>
      <c r="D62" s="35" t="n">
        <v>0.04</v>
      </c>
      <c r="E62" s="35" t="n">
        <v>0.04</v>
      </c>
      <c r="F62" s="35" t="n">
        <v>0.04</v>
      </c>
      <c r="G62" s="35" t="n">
        <v>0.04</v>
      </c>
    </row>
    <row r="63">
      <c r="B63" s="4" t="inlineStr">
        <is>
          <t>Receivable days, DSO (all cases)</t>
        </is>
      </c>
      <c r="C63" s="36" t="n">
        <v>60</v>
      </c>
      <c r="D63" s="36" t="n">
        <v>60</v>
      </c>
      <c r="E63" s="36" t="n">
        <v>60</v>
      </c>
      <c r="F63" s="36" t="n">
        <v>60</v>
      </c>
      <c r="G63" s="36" t="n">
        <v>60</v>
      </c>
    </row>
    <row r="64">
      <c r="B64" s="4" t="inlineStr">
        <is>
          <t>Inventory days, DIO (all cases)</t>
        </is>
      </c>
      <c r="C64" s="36" t="n">
        <v>90</v>
      </c>
      <c r="D64" s="36" t="n">
        <v>90</v>
      </c>
      <c r="E64" s="36" t="n">
        <v>90</v>
      </c>
      <c r="F64" s="36" t="n">
        <v>90</v>
      </c>
      <c r="G64" s="36" t="n">
        <v>90</v>
      </c>
    </row>
    <row r="65">
      <c r="B65" s="4" t="inlineStr">
        <is>
          <t>Payable days, DPO (all cases)</t>
        </is>
      </c>
      <c r="C65" s="36" t="n">
        <v>45</v>
      </c>
      <c r="D65" s="36" t="n">
        <v>45</v>
      </c>
      <c r="E65" s="36" t="n">
        <v>45</v>
      </c>
      <c r="F65" s="36" t="n">
        <v>45</v>
      </c>
      <c r="G65" s="36" t="n">
        <v>45</v>
      </c>
    </row>
    <row r="66">
      <c r="B66" s="4" t="inlineStr">
        <is>
          <t>Accrued liabilities as a percent of revenue</t>
        </is>
      </c>
      <c r="C66" s="35" t="n">
        <v>0.04</v>
      </c>
      <c r="D66" s="35" t="n">
        <v>0.04</v>
      </c>
      <c r="E66" s="35" t="n">
        <v>0.04</v>
      </c>
      <c r="F66" s="35" t="n">
        <v>0.04</v>
      </c>
      <c r="G66" s="35" t="n">
        <v>0.04</v>
      </c>
    </row>
    <row r="67">
      <c r="B67" s="4" t="inlineStr">
        <is>
          <t>Deferred revenue as a percent of revenue</t>
        </is>
      </c>
      <c r="C67" s="35" t="n">
        <v>0.02</v>
      </c>
      <c r="D67" s="35" t="n">
        <v>0.02</v>
      </c>
      <c r="E67" s="35" t="n">
        <v>0.02</v>
      </c>
      <c r="F67" s="35" t="n">
        <v>0.02</v>
      </c>
      <c r="G67" s="35" t="n">
        <v>0.02</v>
      </c>
    </row>
    <row r="68">
      <c r="B68" s="4" t="inlineStr">
        <is>
          <t>Tax rate on EBIT (all cases)</t>
        </is>
      </c>
      <c r="C68" s="35" t="n">
        <v>0.25</v>
      </c>
      <c r="D68" s="35" t="n">
        <v>0.25</v>
      </c>
      <c r="E68" s="35" t="n">
        <v>0.25</v>
      </c>
      <c r="F68" s="35" t="n">
        <v>0.25</v>
      </c>
      <c r="G68" s="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B1" s="27" t="inlineStr">
        <is>
          <t>Torvik Flow Systems: Schedules</t>
        </is>
      </c>
    </row>
    <row r="2">
      <c r="B2" s="2" t="inlineStr">
        <is>
          <t>$ millions, except per share data. Fiscal year ends December 31.</t>
        </is>
      </c>
    </row>
    <row r="4">
      <c r="B4" s="3" t="inlineStr">
        <is>
          <t>WORKING CAPITAL BY DAYS</t>
        </is>
      </c>
      <c r="C4" s="28" t="inlineStr">
        <is>
          <t>2022A</t>
        </is>
      </c>
      <c r="D4" s="28" t="inlineStr">
        <is>
          <t>2023A</t>
        </is>
      </c>
      <c r="E4" s="28" t="inlineStr">
        <is>
          <t>2024A</t>
        </is>
      </c>
      <c r="F4" s="28" t="inlineStr">
        <is>
          <t>2025A</t>
        </is>
      </c>
      <c r="G4" s="28" t="inlineStr">
        <is>
          <t>2026E</t>
        </is>
      </c>
      <c r="H4" s="28" t="inlineStr">
        <is>
          <t>2027E</t>
        </is>
      </c>
      <c r="I4" s="28" t="inlineStr">
        <is>
          <t>2028E</t>
        </is>
      </c>
      <c r="J4" s="28" t="inlineStr">
        <is>
          <t>2029E</t>
        </is>
      </c>
      <c r="K4" s="28" t="inlineStr">
        <is>
          <t>2030E</t>
        </is>
      </c>
    </row>
    <row r="5">
      <c r="B5" s="2" t="inlineStr">
        <is>
          <t>Revenue (from the DCF tab)</t>
        </is>
      </c>
      <c r="D5" s="37">
        <f>DCF!C8</f>
        <v/>
      </c>
      <c r="E5" s="37">
        <f>DCF!D8</f>
        <v/>
      </c>
      <c r="F5" s="37">
        <f>DCF!E8</f>
        <v/>
      </c>
      <c r="G5" s="37">
        <f>DCF!F8</f>
        <v/>
      </c>
      <c r="H5" s="37">
        <f>DCF!G8</f>
        <v/>
      </c>
      <c r="I5" s="37">
        <f>DCF!H8</f>
        <v/>
      </c>
      <c r="J5" s="37">
        <f>DCF!I8</f>
        <v/>
      </c>
      <c r="K5" s="37">
        <f>DCF!J8</f>
        <v/>
      </c>
    </row>
    <row r="6">
      <c r="B6" s="2" t="inlineStr">
        <is>
          <t>Cost of sales (from the DCF tab)</t>
        </is>
      </c>
      <c r="D6" s="37">
        <f>DCF!C10</f>
        <v/>
      </c>
      <c r="E6" s="37">
        <f>DCF!D10</f>
        <v/>
      </c>
      <c r="F6" s="37">
        <f>DCF!E10</f>
        <v/>
      </c>
      <c r="G6" s="37">
        <f>DCF!F10</f>
        <v/>
      </c>
      <c r="H6" s="37">
        <f>DCF!G10</f>
        <v/>
      </c>
      <c r="I6" s="37">
        <f>DCF!H10</f>
        <v/>
      </c>
      <c r="J6" s="37">
        <f>DCF!I10</f>
        <v/>
      </c>
      <c r="K6" s="37">
        <f>DCF!J10</f>
        <v/>
      </c>
    </row>
    <row r="7">
      <c r="B7" s="4" t="inlineStr">
        <is>
          <t>Accounts receivable</t>
        </is>
      </c>
      <c r="C7" s="8" t="n">
        <v>190</v>
      </c>
      <c r="D7" s="8" t="n">
        <v>199</v>
      </c>
      <c r="E7" s="8" t="n">
        <v>210</v>
      </c>
      <c r="F7" s="8" t="n">
        <v>222</v>
      </c>
      <c r="G7" s="18">
        <f>G5*G14/365</f>
        <v/>
      </c>
      <c r="H7" s="18">
        <f>H5*H14/365</f>
        <v/>
      </c>
      <c r="I7" s="18">
        <f>I5*I14/365</f>
        <v/>
      </c>
      <c r="J7" s="18">
        <f>J5*J14/365</f>
        <v/>
      </c>
      <c r="K7" s="18">
        <f>K5*K14/365</f>
        <v/>
      </c>
    </row>
    <row r="8">
      <c r="B8" s="4" t="inlineStr">
        <is>
          <t>Inventory</t>
        </is>
      </c>
      <c r="C8" s="8" t="n">
        <v>195</v>
      </c>
      <c r="D8" s="8" t="n">
        <v>200</v>
      </c>
      <c r="E8" s="8" t="n">
        <v>208</v>
      </c>
      <c r="F8" s="8" t="n">
        <v>218</v>
      </c>
      <c r="G8" s="18">
        <f>-G6*G15/365</f>
        <v/>
      </c>
      <c r="H8" s="18">
        <f>-H6*H15/365</f>
        <v/>
      </c>
      <c r="I8" s="18">
        <f>-I6*I15/365</f>
        <v/>
      </c>
      <c r="J8" s="18">
        <f>-J6*J15/365</f>
        <v/>
      </c>
      <c r="K8" s="18">
        <f>-K6*K15/365</f>
        <v/>
      </c>
    </row>
    <row r="9">
      <c r="B9" s="4" t="inlineStr">
        <is>
          <t>Accounts payable</t>
        </is>
      </c>
      <c r="C9" s="8" t="n">
        <v>97</v>
      </c>
      <c r="D9" s="8" t="n">
        <v>100</v>
      </c>
      <c r="E9" s="8" t="n">
        <v>104</v>
      </c>
      <c r="F9" s="8" t="n">
        <v>109</v>
      </c>
      <c r="G9" s="18">
        <f>-G6*G16/365</f>
        <v/>
      </c>
      <c r="H9" s="18">
        <f>-H6*H16/365</f>
        <v/>
      </c>
      <c r="I9" s="18">
        <f>-I6*I16/365</f>
        <v/>
      </c>
      <c r="J9" s="18">
        <f>-J6*J16/365</f>
        <v/>
      </c>
      <c r="K9" s="18">
        <f>-K6*K16/365</f>
        <v/>
      </c>
    </row>
    <row r="10">
      <c r="B10" s="4" t="inlineStr">
        <is>
          <t>Accrued liabilities</t>
        </is>
      </c>
      <c r="C10" s="8" t="n">
        <v>46</v>
      </c>
      <c r="D10" s="8" t="n">
        <v>48</v>
      </c>
      <c r="E10" s="8" t="n">
        <v>51</v>
      </c>
      <c r="F10" s="8" t="n">
        <v>54</v>
      </c>
      <c r="G10" s="18">
        <f>G5*Inputs!C66</f>
        <v/>
      </c>
      <c r="H10" s="18">
        <f>H5*Inputs!D66</f>
        <v/>
      </c>
      <c r="I10" s="18">
        <f>I5*Inputs!E66</f>
        <v/>
      </c>
      <c r="J10" s="18">
        <f>J5*Inputs!F66</f>
        <v/>
      </c>
      <c r="K10" s="18">
        <f>K5*Inputs!G66</f>
        <v/>
      </c>
    </row>
    <row r="11">
      <c r="B11" s="4" t="inlineStr">
        <is>
          <t>Deferred revenue</t>
        </is>
      </c>
      <c r="C11" s="8" t="n">
        <v>23</v>
      </c>
      <c r="D11" s="8" t="n">
        <v>24</v>
      </c>
      <c r="E11" s="8" t="n">
        <v>26</v>
      </c>
      <c r="F11" s="8" t="n">
        <v>27</v>
      </c>
      <c r="G11" s="18">
        <f>G5*Inputs!C67</f>
        <v/>
      </c>
      <c r="H11" s="18">
        <f>H5*Inputs!D67</f>
        <v/>
      </c>
      <c r="I11" s="18">
        <f>I5*Inputs!E67</f>
        <v/>
      </c>
      <c r="J11" s="18">
        <f>J5*Inputs!F67</f>
        <v/>
      </c>
      <c r="K11" s="18">
        <f>K5*Inputs!G67</f>
        <v/>
      </c>
    </row>
    <row r="12">
      <c r="B12" s="9" t="inlineStr">
        <is>
          <t>Net working capital</t>
        </is>
      </c>
      <c r="C12" s="29">
        <f>C7+C8-C9-C10-C11</f>
        <v/>
      </c>
      <c r="D12" s="29">
        <f>D7+D8-D9-D10-D11</f>
        <v/>
      </c>
      <c r="E12" s="29">
        <f>E7+E8-E9-E10-E11</f>
        <v/>
      </c>
      <c r="F12" s="29">
        <f>F7+F8-F9-F10-F11</f>
        <v/>
      </c>
      <c r="G12" s="29">
        <f>G7+G8-G9-G10-G11</f>
        <v/>
      </c>
      <c r="H12" s="29">
        <f>H7+H8-H9-H10-H11</f>
        <v/>
      </c>
      <c r="I12" s="29">
        <f>I7+I8-I9-I10-I11</f>
        <v/>
      </c>
      <c r="J12" s="29">
        <f>J7+J8-J9-J10-J11</f>
        <v/>
      </c>
      <c r="K12" s="29">
        <f>K7+K8-K9-K10-K11</f>
        <v/>
      </c>
    </row>
    <row r="13">
      <c r="B13" s="9" t="inlineStr">
        <is>
          <t>(Increase) / decrease in NWC</t>
        </is>
      </c>
      <c r="D13" s="38">
        <f>C12-D12</f>
        <v/>
      </c>
      <c r="E13" s="38">
        <f>D12-E12</f>
        <v/>
      </c>
      <c r="F13" s="38">
        <f>E12-F12</f>
        <v/>
      </c>
      <c r="G13" s="38">
        <f>F12-G12</f>
        <v/>
      </c>
      <c r="H13" s="38">
        <f>G12-H12</f>
        <v/>
      </c>
      <c r="I13" s="38">
        <f>H12-I12</f>
        <v/>
      </c>
      <c r="J13" s="38">
        <f>I12-J12</f>
        <v/>
      </c>
      <c r="K13" s="38">
        <f>J12-K12</f>
        <v/>
      </c>
    </row>
    <row r="14">
      <c r="B14" s="4" t="inlineStr">
        <is>
          <t>DSO (days)</t>
        </is>
      </c>
      <c r="D14" s="39">
        <f>D7/D5*365</f>
        <v/>
      </c>
      <c r="E14" s="39">
        <f>E7/E5*365</f>
        <v/>
      </c>
      <c r="F14" s="39">
        <f>F7/F5*365</f>
        <v/>
      </c>
      <c r="G14" s="40">
        <f>Inputs!C63</f>
        <v/>
      </c>
      <c r="H14" s="40">
        <f>Inputs!D63</f>
        <v/>
      </c>
      <c r="I14" s="40">
        <f>Inputs!E63</f>
        <v/>
      </c>
      <c r="J14" s="40">
        <f>Inputs!F63</f>
        <v/>
      </c>
      <c r="K14" s="40">
        <f>Inputs!G63</f>
        <v/>
      </c>
    </row>
    <row r="15">
      <c r="B15" s="4" t="inlineStr">
        <is>
          <t>DIO (days)</t>
        </is>
      </c>
      <c r="D15" s="39">
        <f>D8/-D6*365</f>
        <v/>
      </c>
      <c r="E15" s="39">
        <f>E8/-E6*365</f>
        <v/>
      </c>
      <c r="F15" s="39">
        <f>F8/-F6*365</f>
        <v/>
      </c>
      <c r="G15" s="40">
        <f>Inputs!C64</f>
        <v/>
      </c>
      <c r="H15" s="40">
        <f>Inputs!D64</f>
        <v/>
      </c>
      <c r="I15" s="40">
        <f>Inputs!E64</f>
        <v/>
      </c>
      <c r="J15" s="40">
        <f>Inputs!F64</f>
        <v/>
      </c>
      <c r="K15" s="40">
        <f>Inputs!G64</f>
        <v/>
      </c>
    </row>
    <row r="16">
      <c r="B16" s="4" t="inlineStr">
        <is>
          <t>DPO (days)</t>
        </is>
      </c>
      <c r="D16" s="39">
        <f>D9/-D6*365</f>
        <v/>
      </c>
      <c r="E16" s="39">
        <f>E9/-E6*365</f>
        <v/>
      </c>
      <c r="F16" s="39">
        <f>F9/-F6*365</f>
        <v/>
      </c>
      <c r="G16" s="40">
        <f>Inputs!C65</f>
        <v/>
      </c>
      <c r="H16" s="40">
        <f>Inputs!D65</f>
        <v/>
      </c>
      <c r="I16" s="40">
        <f>Inputs!E65</f>
        <v/>
      </c>
      <c r="J16" s="40">
        <f>Inputs!F65</f>
        <v/>
      </c>
      <c r="K16" s="40">
        <f>Inputs!G65</f>
        <v/>
      </c>
    </row>
    <row r="17">
      <c r="B17" s="4" t="inlineStr">
        <is>
          <t>NWC as a percent of revenue</t>
        </is>
      </c>
      <c r="D17" s="19">
        <f>D12/D5</f>
        <v/>
      </c>
      <c r="E17" s="19">
        <f>E12/E5</f>
        <v/>
      </c>
      <c r="F17" s="19">
        <f>F12/F5</f>
        <v/>
      </c>
      <c r="G17" s="19">
        <f>G12/G5</f>
        <v/>
      </c>
      <c r="H17" s="19">
        <f>H12/H5</f>
        <v/>
      </c>
      <c r="I17" s="19">
        <f>I12/I5</f>
        <v/>
      </c>
      <c r="J17" s="19">
        <f>J12/J5</f>
        <v/>
      </c>
      <c r="K17" s="19">
        <f>K12/K5</f>
        <v/>
      </c>
    </row>
    <row r="19">
      <c r="B19" s="3" t="inlineStr">
        <is>
          <t>PP&amp;E ROLL-FORWARD</t>
        </is>
      </c>
      <c r="C19" s="28" t="inlineStr">
        <is>
          <t>2022A</t>
        </is>
      </c>
      <c r="D19" s="28" t="inlineStr">
        <is>
          <t>2023A</t>
        </is>
      </c>
      <c r="E19" s="28" t="inlineStr">
        <is>
          <t>2024A</t>
        </is>
      </c>
      <c r="F19" s="28" t="inlineStr">
        <is>
          <t>2025A</t>
        </is>
      </c>
      <c r="G19" s="28" t="inlineStr">
        <is>
          <t>2026E</t>
        </is>
      </c>
      <c r="H19" s="28" t="inlineStr">
        <is>
          <t>2027E</t>
        </is>
      </c>
      <c r="I19" s="28" t="inlineStr">
        <is>
          <t>2028E</t>
        </is>
      </c>
      <c r="J19" s="28" t="inlineStr">
        <is>
          <t>2029E</t>
        </is>
      </c>
      <c r="K19" s="28" t="inlineStr">
        <is>
          <t>2030E</t>
        </is>
      </c>
    </row>
    <row r="20">
      <c r="B20" s="4" t="inlineStr">
        <is>
          <t>Beginning net PP&amp;E</t>
        </is>
      </c>
      <c r="D20" s="18">
        <f>C23</f>
        <v/>
      </c>
      <c r="E20" s="18">
        <f>D23</f>
        <v/>
      </c>
      <c r="F20" s="18">
        <f>E23</f>
        <v/>
      </c>
      <c r="G20" s="18">
        <f>F23</f>
        <v/>
      </c>
      <c r="H20" s="18">
        <f>G23</f>
        <v/>
      </c>
      <c r="I20" s="18">
        <f>H23</f>
        <v/>
      </c>
      <c r="J20" s="18">
        <f>I23</f>
        <v/>
      </c>
      <c r="K20" s="18">
        <f>J23</f>
        <v/>
      </c>
    </row>
    <row r="21">
      <c r="B21" s="41" t="inlineStr">
        <is>
          <t>Plus: capex</t>
        </is>
      </c>
      <c r="D21" s="12">
        <f>DCF!C19</f>
        <v/>
      </c>
      <c r="E21" s="12">
        <f>DCF!D19</f>
        <v/>
      </c>
      <c r="F21" s="12">
        <f>DCF!E19</f>
        <v/>
      </c>
      <c r="G21" s="12">
        <f>DCF!F19</f>
        <v/>
      </c>
      <c r="H21" s="12">
        <f>DCF!G19</f>
        <v/>
      </c>
      <c r="I21" s="12">
        <f>DCF!H19</f>
        <v/>
      </c>
      <c r="J21" s="12">
        <f>DCF!I19</f>
        <v/>
      </c>
      <c r="K21" s="12">
        <f>DCF!J19</f>
        <v/>
      </c>
    </row>
    <row r="22">
      <c r="B22" s="41" t="inlineStr">
        <is>
          <t>Less: depreciation and amortization</t>
        </is>
      </c>
      <c r="D22" s="12">
        <f>-DCF!C16</f>
        <v/>
      </c>
      <c r="E22" s="12">
        <f>-DCF!D16</f>
        <v/>
      </c>
      <c r="F22" s="12">
        <f>-DCF!E16</f>
        <v/>
      </c>
      <c r="G22" s="12">
        <f>-DCF!F16</f>
        <v/>
      </c>
      <c r="H22" s="12">
        <f>-DCF!G16</f>
        <v/>
      </c>
      <c r="I22" s="12">
        <f>-DCF!H16</f>
        <v/>
      </c>
      <c r="J22" s="12">
        <f>-DCF!I16</f>
        <v/>
      </c>
      <c r="K22" s="12">
        <f>-DCF!J16</f>
        <v/>
      </c>
    </row>
    <row r="23">
      <c r="B23" s="9" t="inlineStr">
        <is>
          <t>Ending net PP&amp;E</t>
        </is>
      </c>
      <c r="C23" s="42" t="n">
        <v>384</v>
      </c>
      <c r="D23" s="29">
        <f>SUM(D20:D22)</f>
        <v/>
      </c>
      <c r="E23" s="29">
        <f>SUM(E20:E22)</f>
        <v/>
      </c>
      <c r="F23" s="29">
        <f>SUM(F20:F22)</f>
        <v/>
      </c>
      <c r="G23" s="29">
        <f>SUM(G20:G22)</f>
        <v/>
      </c>
      <c r="H23" s="29">
        <f>SUM(H20:H22)</f>
        <v/>
      </c>
      <c r="I23" s="29">
        <f>SUM(I20:I22)</f>
        <v/>
      </c>
      <c r="J23" s="29">
        <f>SUM(J20:J22)</f>
        <v/>
      </c>
      <c r="K23" s="29">
        <f>SUM(K20:K22)</f>
        <v/>
      </c>
    </row>
    <row r="24">
      <c r="B24" s="4" t="inlineStr">
        <is>
          <t>Capex as a percent of revenue</t>
        </is>
      </c>
      <c r="D24" s="19">
        <f>D21/D5</f>
        <v/>
      </c>
      <c r="E24" s="19">
        <f>E21/E5</f>
        <v/>
      </c>
      <c r="F24" s="19">
        <f>F21/F5</f>
        <v/>
      </c>
      <c r="G24" s="19">
        <f>G21/G5</f>
        <v/>
      </c>
      <c r="H24" s="19">
        <f>H21/H5</f>
        <v/>
      </c>
      <c r="I24" s="19">
        <f>I21/I5</f>
        <v/>
      </c>
      <c r="J24" s="19">
        <f>J21/J5</f>
        <v/>
      </c>
      <c r="K24" s="19">
        <f>K21/K5</f>
        <v/>
      </c>
    </row>
    <row r="25">
      <c r="B25" s="4" t="inlineStr">
        <is>
          <t>D&amp;A as a percent of revenue</t>
        </is>
      </c>
      <c r="D25" s="19">
        <f>-D22/D5</f>
        <v/>
      </c>
      <c r="E25" s="19">
        <f>-E22/E5</f>
        <v/>
      </c>
      <c r="F25" s="19">
        <f>-F22/F5</f>
        <v/>
      </c>
      <c r="G25" s="19">
        <f>-G22/G5</f>
        <v/>
      </c>
      <c r="H25" s="19">
        <f>-H22/H5</f>
        <v/>
      </c>
      <c r="I25" s="19">
        <f>-I22/I5</f>
        <v/>
      </c>
      <c r="J25" s="19">
        <f>-J22/J5</f>
        <v/>
      </c>
      <c r="K25" s="19">
        <f>-K22/K5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B1" s="27" t="inlineStr">
        <is>
          <t>Torvik Flow Systems: Cost of debt</t>
        </is>
      </c>
    </row>
    <row r="2">
      <c r="B2" s="2" t="inlineStr">
        <is>
          <t>$ millions, except per share data. Fiscal year ends December 31.</t>
        </is>
      </c>
    </row>
    <row r="4">
      <c r="B4" s="3" t="inlineStr">
        <is>
          <t>COST OF DEBT</t>
        </is>
      </c>
      <c r="C4" s="3" t="n"/>
      <c r="D4" s="3" t="n"/>
      <c r="E4" s="3" t="n"/>
      <c r="F4" s="3" t="n"/>
    </row>
    <row r="5">
      <c r="B5" s="43" t="inlineStr">
        <is>
          <t>Tranche</t>
        </is>
      </c>
      <c r="C5" s="44" t="inlineStr">
        <is>
          <t>Principal</t>
        </is>
      </c>
      <c r="D5" s="44" t="inlineStr">
        <is>
          <t>Weight</t>
        </is>
      </c>
      <c r="E5" s="44" t="inlineStr">
        <is>
          <t>Rate</t>
        </is>
      </c>
      <c r="F5" s="44" t="inlineStr">
        <is>
          <t>Principal x rate</t>
        </is>
      </c>
    </row>
    <row r="6">
      <c r="B6" s="4" t="inlineStr">
        <is>
          <t>Term loan B</t>
        </is>
      </c>
      <c r="C6" s="8" t="n">
        <v>250</v>
      </c>
      <c r="D6" s="19">
        <f>C6/C$8</f>
        <v/>
      </c>
      <c r="E6" s="45" t="n">
        <v>0.0575</v>
      </c>
      <c r="F6" s="18">
        <f>C6*E6</f>
        <v/>
      </c>
    </row>
    <row r="7">
      <c r="B7" s="4" t="inlineStr">
        <is>
          <t>Senior notes</t>
        </is>
      </c>
      <c r="C7" s="8" t="n">
        <v>150</v>
      </c>
      <c r="D7" s="19">
        <f>C7/C$8</f>
        <v/>
      </c>
      <c r="E7" s="45" t="n">
        <v>0.065</v>
      </c>
      <c r="F7" s="18">
        <f>C7*E7</f>
        <v/>
      </c>
    </row>
    <row r="8">
      <c r="B8" s="9" t="inlineStr">
        <is>
          <t>Total debt and weighted pre-tax cost</t>
        </is>
      </c>
      <c r="C8" s="29">
        <f>SUM(C6:C7)</f>
        <v/>
      </c>
      <c r="D8" s="46">
        <f>SUM(D6:D7)</f>
        <v/>
      </c>
      <c r="E8" s="47">
        <f>F8/C8</f>
        <v/>
      </c>
      <c r="F8" s="29">
        <f>SUM(F6:F7)</f>
        <v/>
      </c>
    </row>
    <row r="9">
      <c r="B9" s="4" t="inlineStr">
        <is>
          <t>Tax rate (from the Inputs tab)</t>
        </is>
      </c>
      <c r="E9" s="48">
        <f>Inputs!C68</f>
        <v/>
      </c>
    </row>
    <row r="10">
      <c r="B10" s="9" t="inlineStr">
        <is>
          <t>After-tax cost of debt at a 25% tax rate</t>
        </is>
      </c>
      <c r="E10" s="49">
        <f>E8*(1-E9)</f>
        <v/>
      </c>
    </row>
    <row r="11">
      <c r="B11" s="2" t="inlineStr">
        <is>
          <t>Tie: historical interest expense of 24.0 a year against 400.0 of debt at 6.03% is 24.1, within rounding.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1" customWidth="1" min="4" max="4"/>
    <col width="12" customWidth="1" min="5" max="5"/>
    <col width="9" customWidth="1" min="6" max="6"/>
    <col width="9" customWidth="1" min="7" max="7"/>
    <col width="14" customWidth="1" min="8" max="8"/>
  </cols>
  <sheetData>
    <row r="1">
      <c r="B1" s="27" t="inlineStr">
        <is>
          <t>Torvik Flow Systems: Beta</t>
        </is>
      </c>
    </row>
    <row r="2">
      <c r="B2" s="2" t="inlineStr">
        <is>
          <t>Peers are fictional. Debt and equity value in $ millions.</t>
        </is>
      </c>
    </row>
    <row r="4">
      <c r="B4" s="3" t="inlineStr">
        <is>
          <t>PEER BETAS, UNLEVERED AND RELEVERED</t>
        </is>
      </c>
      <c r="C4" s="3" t="n"/>
      <c r="D4" s="3" t="n"/>
      <c r="E4" s="3" t="n"/>
      <c r="F4" s="3" t="n"/>
      <c r="G4" s="3" t="n"/>
      <c r="H4" s="3" t="n"/>
    </row>
    <row r="5">
      <c r="B5" s="43" t="inlineStr">
        <is>
          <t>Company</t>
        </is>
      </c>
      <c r="C5" s="44" t="inlineStr">
        <is>
          <t>Levered beta</t>
        </is>
      </c>
      <c r="D5" s="44" t="inlineStr">
        <is>
          <t>Debt</t>
        </is>
      </c>
      <c r="E5" s="44" t="inlineStr">
        <is>
          <t>Equity value</t>
        </is>
      </c>
      <c r="F5" s="44" t="inlineStr">
        <is>
          <t>D / E</t>
        </is>
      </c>
      <c r="G5" s="44" t="inlineStr">
        <is>
          <t>Tax rate</t>
        </is>
      </c>
      <c r="H5" s="44" t="inlineStr">
        <is>
          <t>Unlevered beta</t>
        </is>
      </c>
    </row>
    <row r="6">
      <c r="B6" s="4" t="inlineStr">
        <is>
          <t>Peer A (large-cap pumps)</t>
        </is>
      </c>
      <c r="C6" s="50" t="n">
        <v>1.2</v>
      </c>
      <c r="D6" s="8" t="n">
        <v>600</v>
      </c>
      <c r="E6" s="8" t="n">
        <v>3000</v>
      </c>
      <c r="F6" s="51">
        <f>D6/E6</f>
        <v/>
      </c>
      <c r="G6" s="52" t="n">
        <v>0.25</v>
      </c>
      <c r="H6" s="53">
        <f>C6/(1+(1-G6)*F6)</f>
        <v/>
      </c>
    </row>
    <row r="7">
      <c r="B7" s="4" t="inlineStr">
        <is>
          <t>Peer B (valves)</t>
        </is>
      </c>
      <c r="C7" s="50" t="n">
        <v>1.05</v>
      </c>
      <c r="D7" s="8" t="n">
        <v>300</v>
      </c>
      <c r="E7" s="8" t="n">
        <v>2500</v>
      </c>
      <c r="F7" s="51">
        <f>D7/E7</f>
        <v/>
      </c>
      <c r="G7" s="52" t="n">
        <v>0.25</v>
      </c>
      <c r="H7" s="53">
        <f>C7/(1+(1-G7)*F7)</f>
        <v/>
      </c>
    </row>
    <row r="8">
      <c r="B8" s="4" t="inlineStr">
        <is>
          <t>Peer C (industrial controls)</t>
        </is>
      </c>
      <c r="C8" s="50" t="n">
        <v>1.35</v>
      </c>
      <c r="D8" s="8" t="n">
        <v>1200</v>
      </c>
      <c r="E8" s="8" t="n">
        <v>4000</v>
      </c>
      <c r="F8" s="51">
        <f>D8/E8</f>
        <v/>
      </c>
      <c r="G8" s="52" t="n">
        <v>0.25</v>
      </c>
      <c r="H8" s="53">
        <f>C8/(1+(1-G8)*F8)</f>
        <v/>
      </c>
    </row>
    <row r="9">
      <c r="B9" s="4" t="inlineStr">
        <is>
          <t>Peer D (flow equipment, small cap)</t>
        </is>
      </c>
      <c r="C9" s="50" t="n">
        <v>0.95</v>
      </c>
      <c r="D9" s="8" t="n">
        <v>200</v>
      </c>
      <c r="E9" s="8" t="n">
        <v>1800</v>
      </c>
      <c r="F9" s="51">
        <f>D9/E9</f>
        <v/>
      </c>
      <c r="G9" s="52" t="n">
        <v>0.25</v>
      </c>
      <c r="H9" s="53">
        <f>C9/(1+(1-G9)*F9)</f>
        <v/>
      </c>
    </row>
    <row r="10">
      <c r="B10" s="4" t="inlineStr">
        <is>
          <t>Peer E (fluid handling)</t>
        </is>
      </c>
      <c r="C10" s="50" t="n">
        <v>1.15</v>
      </c>
      <c r="D10" s="8" t="n">
        <v>900</v>
      </c>
      <c r="E10" s="8" t="n">
        <v>3600</v>
      </c>
      <c r="F10" s="51">
        <f>D10/E10</f>
        <v/>
      </c>
      <c r="G10" s="52" t="n">
        <v>0.25</v>
      </c>
      <c r="H10" s="53">
        <f>C10/(1+(1-G10)*F10)</f>
        <v/>
      </c>
    </row>
    <row r="11">
      <c r="B11" s="9" t="inlineStr">
        <is>
          <t>Median unlevered beta</t>
        </is>
      </c>
      <c r="H11" s="54">
        <f>MEDIAN(H6:H10)</f>
        <v/>
      </c>
    </row>
    <row r="12">
      <c r="B12" s="30" t="inlineStr">
        <is>
          <t>Mean unlevered beta (for reference)</t>
        </is>
      </c>
      <c r="H12" s="55">
        <f>AVERAGE(H6:H10)</f>
        <v/>
      </c>
    </row>
    <row r="13">
      <c r="B13" s="4" t="inlineStr">
        <is>
          <t>Torvik debt to equity (400.0 / market cap)</t>
        </is>
      </c>
      <c r="D13" s="12">
        <f>'Cost of debt'!C8</f>
        <v/>
      </c>
      <c r="E13" s="12">
        <f>WACC!C13</f>
        <v/>
      </c>
      <c r="F13" s="53">
        <f>D13/E13</f>
        <v/>
      </c>
      <c r="G13" s="48">
        <f>Inputs!C68</f>
        <v/>
      </c>
    </row>
    <row r="14">
      <c r="B14" s="9" t="inlineStr">
        <is>
          <t>Torvik relevered beta</t>
        </is>
      </c>
      <c r="H14" s="54">
        <f>H11*(1+(1-G13)*F13)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</cols>
  <sheetData>
    <row r="1">
      <c r="B1" s="27" t="inlineStr">
        <is>
          <t>Torvik Flow Systems: WACC</t>
        </is>
      </c>
    </row>
    <row r="2">
      <c r="B2" s="2" t="inlineStr">
        <is>
          <t>$ millions, except per share data. Fiscal year ends December 31.</t>
        </is>
      </c>
    </row>
    <row r="4">
      <c r="B4" s="3" t="inlineStr">
        <is>
          <t>WACC</t>
        </is>
      </c>
      <c r="C4" s="3" t="n"/>
    </row>
    <row r="5">
      <c r="B5" s="4" t="inlineStr">
        <is>
          <t>Risk-free rate (from the pack)</t>
        </is>
      </c>
      <c r="C5" s="45" t="n">
        <v>0.045</v>
      </c>
    </row>
    <row r="6">
      <c r="B6" s="4" t="inlineStr">
        <is>
          <t>Equity risk premium (from the pack)</t>
        </is>
      </c>
      <c r="C6" s="45" t="n">
        <v>0.05</v>
      </c>
    </row>
    <row r="7">
      <c r="B7" s="4" t="inlineStr">
        <is>
          <t>Relevered beta</t>
        </is>
      </c>
      <c r="C7" s="56">
        <f>Beta!H14</f>
        <v/>
      </c>
    </row>
    <row r="8">
      <c r="B8" s="4" t="inlineStr">
        <is>
          <t>Cost of equity = risk-free + beta times ERP</t>
        </is>
      </c>
      <c r="C8" s="57">
        <f>C5+C7*C6</f>
        <v/>
      </c>
    </row>
    <row r="9">
      <c r="B9" s="4" t="inlineStr">
        <is>
          <t>Pre-tax cost of debt</t>
        </is>
      </c>
      <c r="C9" s="13">
        <f>'Cost of debt'!E8</f>
        <v/>
      </c>
    </row>
    <row r="10">
      <c r="B10" s="4" t="inlineStr">
        <is>
          <t>After-tax cost of debt</t>
        </is>
      </c>
      <c r="C10" s="13">
        <f>'Cost of debt'!E10</f>
        <v/>
      </c>
    </row>
    <row r="11">
      <c r="B11" s="4" t="inlineStr">
        <is>
          <t>Share price on the valuation date ($)</t>
        </is>
      </c>
      <c r="C11" s="58">
        <f>Cover!C9</f>
        <v/>
      </c>
    </row>
    <row r="12">
      <c r="B12" s="4" t="inlineStr">
        <is>
          <t>Diluted shares (millions)</t>
        </is>
      </c>
      <c r="C12" s="12">
        <f>Cover!C10</f>
        <v/>
      </c>
    </row>
    <row r="13">
      <c r="B13" s="4" t="inlineStr">
        <is>
          <t>Equity value (market cap)</t>
        </is>
      </c>
      <c r="C13" s="18">
        <f>C11*C12</f>
        <v/>
      </c>
    </row>
    <row r="14">
      <c r="B14" s="4" t="inlineStr">
        <is>
          <t>Total debt</t>
        </is>
      </c>
      <c r="C14" s="12">
        <f>'Cost of debt'!C8</f>
        <v/>
      </c>
    </row>
    <row r="15">
      <c r="B15" s="4" t="inlineStr">
        <is>
          <t>Equity weight</t>
        </is>
      </c>
      <c r="C15" s="19">
        <f>C13/(C13+C14)</f>
        <v/>
      </c>
    </row>
    <row r="16">
      <c r="B16" s="4" t="inlineStr">
        <is>
          <t>Debt weight</t>
        </is>
      </c>
      <c r="C16" s="19">
        <f>C14/(C13+C14)</f>
        <v/>
      </c>
    </row>
    <row r="17">
      <c r="B17" s="9" t="inlineStr">
        <is>
          <t>WACC</t>
        </is>
      </c>
      <c r="C17" s="47">
        <f>C15*C8+C16*C10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" customWidth="1" min="11" max="11"/>
    <col width="44" customWidth="1" min="12" max="12"/>
  </cols>
  <sheetData>
    <row r="1">
      <c r="B1" s="27" t="inlineStr">
        <is>
          <t>Torvik Flow Systems: DCF</t>
        </is>
      </c>
    </row>
    <row r="2">
      <c r="B2" s="2" t="inlineStr">
        <is>
          <t>$ millions, except per share data. Fiscal year ends December 31.</t>
        </is>
      </c>
    </row>
    <row r="4">
      <c r="B4" s="3" t="inlineStr">
        <is>
          <t>OPERATING BUILD</t>
        </is>
      </c>
      <c r="C4" s="28" t="inlineStr">
        <is>
          <t>2023A</t>
        </is>
      </c>
      <c r="D4" s="28" t="inlineStr">
        <is>
          <t>2024A</t>
        </is>
      </c>
      <c r="E4" s="28" t="inlineStr">
        <is>
          <t>2025A</t>
        </is>
      </c>
      <c r="F4" s="28" t="inlineStr">
        <is>
          <t>2026E</t>
        </is>
      </c>
      <c r="G4" s="28" t="inlineStr">
        <is>
          <t>2027E</t>
        </is>
      </c>
      <c r="H4" s="28" t="inlineStr">
        <is>
          <t>2028E</t>
        </is>
      </c>
      <c r="I4" s="28" t="inlineStr">
        <is>
          <t>2029E</t>
        </is>
      </c>
      <c r="J4" s="28" t="inlineStr">
        <is>
          <t>2030E</t>
        </is>
      </c>
      <c r="K4" s="3" t="n"/>
      <c r="L4" s="3" t="inlineStr">
        <is>
          <t>Formula in the 2026E column</t>
        </is>
      </c>
    </row>
    <row r="5">
      <c r="B5" s="4" t="inlineStr">
        <is>
          <t>Pumps</t>
        </is>
      </c>
      <c r="C5" s="12">
        <f>Inputs!C27</f>
        <v/>
      </c>
      <c r="D5" s="12">
        <f>Inputs!D27</f>
        <v/>
      </c>
      <c r="E5" s="12">
        <f>Inputs!E27</f>
        <v/>
      </c>
      <c r="F5" s="18">
        <f>E5*(1+Inputs!C44)</f>
        <v/>
      </c>
      <c r="G5" s="18">
        <f>F5*(1+Inputs!D44)</f>
        <v/>
      </c>
      <c r="H5" s="18">
        <f>G5*(1+Inputs!E44)</f>
        <v/>
      </c>
      <c r="I5" s="18">
        <f>H5*(1+Inputs!F44)</f>
        <v/>
      </c>
      <c r="J5" s="18">
        <f>I5*(1+Inputs!G44)</f>
        <v/>
      </c>
      <c r="L5" s="34" t="inlineStr">
        <is>
          <t>=E5*(1+Inputs!C44)</t>
        </is>
      </c>
    </row>
    <row r="6">
      <c r="B6" s="4" t="inlineStr">
        <is>
          <t>Valves and Controls</t>
        </is>
      </c>
      <c r="C6" s="12">
        <f>Inputs!C28</f>
        <v/>
      </c>
      <c r="D6" s="12">
        <f>Inputs!D28</f>
        <v/>
      </c>
      <c r="E6" s="12">
        <f>Inputs!E28</f>
        <v/>
      </c>
      <c r="F6" s="18">
        <f>E6*(1+Inputs!C48)</f>
        <v/>
      </c>
      <c r="G6" s="18">
        <f>F6*(1+Inputs!D48)</f>
        <v/>
      </c>
      <c r="H6" s="18">
        <f>G6*(1+Inputs!E48)</f>
        <v/>
      </c>
      <c r="I6" s="18">
        <f>H6*(1+Inputs!F48)</f>
        <v/>
      </c>
      <c r="J6" s="18">
        <f>I6*(1+Inputs!G48)</f>
        <v/>
      </c>
      <c r="L6" s="34" t="inlineStr">
        <is>
          <t>=E6*(1+Inputs!C48)</t>
        </is>
      </c>
    </row>
    <row r="7">
      <c r="B7" s="4" t="inlineStr">
        <is>
          <t>Aftermarket Parts and Service</t>
        </is>
      </c>
      <c r="C7" s="12">
        <f>Inputs!C29</f>
        <v/>
      </c>
      <c r="D7" s="12">
        <f>Inputs!D29</f>
        <v/>
      </c>
      <c r="E7" s="12">
        <f>Inputs!E29</f>
        <v/>
      </c>
      <c r="F7" s="18">
        <f>E7*(1+Inputs!C52)</f>
        <v/>
      </c>
      <c r="G7" s="18">
        <f>F7*(1+Inputs!D52)</f>
        <v/>
      </c>
      <c r="H7" s="18">
        <f>G7*(1+Inputs!E52)</f>
        <v/>
      </c>
      <c r="I7" s="18">
        <f>H7*(1+Inputs!F52)</f>
        <v/>
      </c>
      <c r="J7" s="18">
        <f>I7*(1+Inputs!G52)</f>
        <v/>
      </c>
      <c r="L7" s="34" t="inlineStr">
        <is>
          <t>=E7*(1+Inputs!C52)</t>
        </is>
      </c>
    </row>
    <row r="8">
      <c r="B8" s="9" t="inlineStr">
        <is>
          <t>Total revenue</t>
        </is>
      </c>
      <c r="C8" s="29">
        <f>SUM(C5:C7)</f>
        <v/>
      </c>
      <c r="D8" s="29">
        <f>SUM(D5:D7)</f>
        <v/>
      </c>
      <c r="E8" s="29">
        <f>SUM(E5:E7)</f>
        <v/>
      </c>
      <c r="F8" s="29">
        <f>SUM(F5:F7)</f>
        <v/>
      </c>
      <c r="G8" s="29">
        <f>SUM(G5:G7)</f>
        <v/>
      </c>
      <c r="H8" s="29">
        <f>SUM(H5:H7)</f>
        <v/>
      </c>
      <c r="I8" s="29">
        <f>SUM(I5:I7)</f>
        <v/>
      </c>
      <c r="J8" s="29">
        <f>SUM(J5:J7)</f>
        <v/>
      </c>
      <c r="L8" s="34" t="inlineStr">
        <is>
          <t>=SUM(F5:F7)</t>
        </is>
      </c>
    </row>
    <row r="9">
      <c r="B9" s="4" t="inlineStr">
        <is>
          <t>Revenue growth</t>
        </is>
      </c>
      <c r="D9" s="19">
        <f>D8/C8-1</f>
        <v/>
      </c>
      <c r="E9" s="19">
        <f>E8/D8-1</f>
        <v/>
      </c>
      <c r="F9" s="19">
        <f>F8/E8-1</f>
        <v/>
      </c>
      <c r="G9" s="19">
        <f>G8/F8-1</f>
        <v/>
      </c>
      <c r="H9" s="19">
        <f>H8/G8-1</f>
        <v/>
      </c>
      <c r="I9" s="19">
        <f>I8/H8-1</f>
        <v/>
      </c>
      <c r="J9" s="19">
        <f>J8/I8-1</f>
        <v/>
      </c>
      <c r="L9" s="34" t="inlineStr">
        <is>
          <t>=F8/E8-1</t>
        </is>
      </c>
    </row>
    <row r="10">
      <c r="B10" s="4" t="inlineStr">
        <is>
          <t>Cost of sales</t>
        </is>
      </c>
      <c r="C10" s="12">
        <f>Inputs!C6</f>
        <v/>
      </c>
      <c r="D10" s="12">
        <f>Inputs!D6</f>
        <v/>
      </c>
      <c r="E10" s="12">
        <f>Inputs!E6</f>
        <v/>
      </c>
      <c r="F10" s="18">
        <f>-F8*(1-Inputs!C56)</f>
        <v/>
      </c>
      <c r="G10" s="18">
        <f>-G8*(1-Inputs!D56)</f>
        <v/>
      </c>
      <c r="H10" s="18">
        <f>-H8*(1-Inputs!E56)</f>
        <v/>
      </c>
      <c r="I10" s="18">
        <f>-I8*(1-Inputs!F56)</f>
        <v/>
      </c>
      <c r="J10" s="18">
        <f>-J8*(1-Inputs!G56)</f>
        <v/>
      </c>
      <c r="L10" s="34" t="inlineStr">
        <is>
          <t>=-F8*(1-Inputs!C56)</t>
        </is>
      </c>
    </row>
    <row r="11">
      <c r="B11" s="9" t="inlineStr">
        <is>
          <t>Gross profit</t>
        </is>
      </c>
      <c r="C11" s="29">
        <f>C8+C10</f>
        <v/>
      </c>
      <c r="D11" s="29">
        <f>D8+D10</f>
        <v/>
      </c>
      <c r="E11" s="29">
        <f>E8+E10</f>
        <v/>
      </c>
      <c r="F11" s="29">
        <f>F8+F10</f>
        <v/>
      </c>
      <c r="G11" s="29">
        <f>G8+G10</f>
        <v/>
      </c>
      <c r="H11" s="29">
        <f>H8+H10</f>
        <v/>
      </c>
      <c r="I11" s="29">
        <f>I8+I10</f>
        <v/>
      </c>
      <c r="J11" s="29">
        <f>J8+J10</f>
        <v/>
      </c>
      <c r="L11" s="34" t="inlineStr">
        <is>
          <t>=F8+F10</t>
        </is>
      </c>
    </row>
    <row r="12">
      <c r="B12" s="4" t="inlineStr">
        <is>
          <t>Gross margin</t>
        </is>
      </c>
      <c r="C12" s="19">
        <f>C11/C8</f>
        <v/>
      </c>
      <c r="D12" s="19">
        <f>D11/D8</f>
        <v/>
      </c>
      <c r="E12" s="19">
        <f>E11/E8</f>
        <v/>
      </c>
      <c r="F12" s="19">
        <f>F11/F8</f>
        <v/>
      </c>
      <c r="G12" s="19">
        <f>G11/G8</f>
        <v/>
      </c>
      <c r="H12" s="19">
        <f>H11/H8</f>
        <v/>
      </c>
      <c r="I12" s="19">
        <f>I11/I8</f>
        <v/>
      </c>
      <c r="J12" s="19">
        <f>J11/J8</f>
        <v/>
      </c>
      <c r="L12" s="34" t="inlineStr">
        <is>
          <t>=F11/F8</t>
        </is>
      </c>
    </row>
    <row r="13">
      <c r="B13" s="4" t="inlineStr">
        <is>
          <t>SG&amp;A</t>
        </is>
      </c>
      <c r="C13" s="12">
        <f>Inputs!C8</f>
        <v/>
      </c>
      <c r="D13" s="12">
        <f>Inputs!D8</f>
        <v/>
      </c>
      <c r="E13" s="12">
        <f>Inputs!E8</f>
        <v/>
      </c>
      <c r="F13" s="18">
        <f>-F8*Inputs!C60</f>
        <v/>
      </c>
      <c r="G13" s="18">
        <f>-G8*Inputs!D60</f>
        <v/>
      </c>
      <c r="H13" s="18">
        <f>-H8*Inputs!E60</f>
        <v/>
      </c>
      <c r="I13" s="18">
        <f>-I8*Inputs!F60</f>
        <v/>
      </c>
      <c r="J13" s="18">
        <f>-J8*Inputs!G60</f>
        <v/>
      </c>
      <c r="L13" s="34" t="inlineStr">
        <is>
          <t>=-F8*Inputs!C60</t>
        </is>
      </c>
    </row>
    <row r="14">
      <c r="B14" s="9" t="inlineStr">
        <is>
          <t>EBIT</t>
        </is>
      </c>
      <c r="C14" s="29">
        <f>C11+C13</f>
        <v/>
      </c>
      <c r="D14" s="29">
        <f>D11+D13</f>
        <v/>
      </c>
      <c r="E14" s="29">
        <f>E11+E13</f>
        <v/>
      </c>
      <c r="F14" s="29">
        <f>F11+F13</f>
        <v/>
      </c>
      <c r="G14" s="29">
        <f>G11+G13</f>
        <v/>
      </c>
      <c r="H14" s="29">
        <f>H11+H13</f>
        <v/>
      </c>
      <c r="I14" s="29">
        <f>I11+I13</f>
        <v/>
      </c>
      <c r="J14" s="29">
        <f>J11+J13</f>
        <v/>
      </c>
      <c r="L14" s="34" t="inlineStr">
        <is>
          <t>=F11+F13</t>
        </is>
      </c>
    </row>
    <row r="15">
      <c r="B15" s="4" t="inlineStr">
        <is>
          <t>EBIT margin</t>
        </is>
      </c>
      <c r="C15" s="19">
        <f>C14/C8</f>
        <v/>
      </c>
      <c r="D15" s="19">
        <f>D14/D8</f>
        <v/>
      </c>
      <c r="E15" s="19">
        <f>E14/E8</f>
        <v/>
      </c>
      <c r="F15" s="19">
        <f>F14/F8</f>
        <v/>
      </c>
      <c r="G15" s="19">
        <f>G14/G8</f>
        <v/>
      </c>
      <c r="H15" s="19">
        <f>H14/H8</f>
        <v/>
      </c>
      <c r="I15" s="19">
        <f>I14/I8</f>
        <v/>
      </c>
      <c r="J15" s="19">
        <f>J14/J8</f>
        <v/>
      </c>
      <c r="L15" s="34" t="inlineStr">
        <is>
          <t>=F14/F8</t>
        </is>
      </c>
    </row>
    <row r="16">
      <c r="B16" s="4" t="inlineStr">
        <is>
          <t>D&amp;A</t>
        </is>
      </c>
      <c r="C16" s="12">
        <f>Inputs!C21</f>
        <v/>
      </c>
      <c r="D16" s="12">
        <f>Inputs!D21</f>
        <v/>
      </c>
      <c r="E16" s="12">
        <f>Inputs!E21</f>
        <v/>
      </c>
      <c r="F16" s="18">
        <f>F8*Inputs!C61</f>
        <v/>
      </c>
      <c r="G16" s="18">
        <f>G8*Inputs!D61</f>
        <v/>
      </c>
      <c r="H16" s="18">
        <f>H8*Inputs!E61</f>
        <v/>
      </c>
      <c r="I16" s="18">
        <f>I8*Inputs!F61</f>
        <v/>
      </c>
      <c r="J16" s="18">
        <f>J8*Inputs!G61</f>
        <v/>
      </c>
      <c r="L16" s="34" t="inlineStr">
        <is>
          <t>=F8*Inputs!C61</t>
        </is>
      </c>
    </row>
    <row r="17">
      <c r="B17" s="9" t="inlineStr">
        <is>
          <t>EBITDA</t>
        </is>
      </c>
      <c r="C17" s="29">
        <f>C14+C16</f>
        <v/>
      </c>
      <c r="D17" s="29">
        <f>D14+D16</f>
        <v/>
      </c>
      <c r="E17" s="29">
        <f>E14+E16</f>
        <v/>
      </c>
      <c r="F17" s="29">
        <f>F14+F16</f>
        <v/>
      </c>
      <c r="G17" s="29">
        <f>G14+G16</f>
        <v/>
      </c>
      <c r="H17" s="29">
        <f>H14+H16</f>
        <v/>
      </c>
      <c r="I17" s="29">
        <f>I14+I16</f>
        <v/>
      </c>
      <c r="J17" s="29">
        <f>J14+J16</f>
        <v/>
      </c>
      <c r="L17" s="34" t="inlineStr">
        <is>
          <t>=F14+F16</t>
        </is>
      </c>
    </row>
    <row r="18">
      <c r="B18" s="4" t="inlineStr">
        <is>
          <t>EBITDA margin</t>
        </is>
      </c>
      <c r="C18" s="19">
        <f>C17/C8</f>
        <v/>
      </c>
      <c r="D18" s="19">
        <f>D17/D8</f>
        <v/>
      </c>
      <c r="E18" s="19">
        <f>E17/E8</f>
        <v/>
      </c>
      <c r="F18" s="19">
        <f>F17/F8</f>
        <v/>
      </c>
      <c r="G18" s="19">
        <f>G17/G8</f>
        <v/>
      </c>
      <c r="H18" s="19">
        <f>H17/H8</f>
        <v/>
      </c>
      <c r="I18" s="19">
        <f>I17/I8</f>
        <v/>
      </c>
      <c r="J18" s="19">
        <f>J17/J8</f>
        <v/>
      </c>
      <c r="L18" s="34" t="inlineStr">
        <is>
          <t>=F17/F8</t>
        </is>
      </c>
    </row>
    <row r="19">
      <c r="B19" s="4" t="inlineStr">
        <is>
          <t>Capex</t>
        </is>
      </c>
      <c r="C19" s="12">
        <f>Inputs!C24</f>
        <v/>
      </c>
      <c r="D19" s="12">
        <f>Inputs!D24</f>
        <v/>
      </c>
      <c r="E19" s="12">
        <f>Inputs!E24</f>
        <v/>
      </c>
      <c r="F19" s="18">
        <f>F8*Inputs!C62</f>
        <v/>
      </c>
      <c r="G19" s="18">
        <f>G8*Inputs!D62</f>
        <v/>
      </c>
      <c r="H19" s="18">
        <f>H8*Inputs!E62</f>
        <v/>
      </c>
      <c r="I19" s="18">
        <f>I8*Inputs!F62</f>
        <v/>
      </c>
      <c r="J19" s="18">
        <f>J8*Inputs!G62</f>
        <v/>
      </c>
      <c r="L19" s="34" t="inlineStr">
        <is>
          <t>=F8*Inputs!C62</t>
        </is>
      </c>
    </row>
    <row r="21">
      <c r="B21" s="3" t="inlineStr">
        <is>
          <t>UNLEVERED FREE CASH FLOW AND PRESENT VALUE</t>
        </is>
      </c>
      <c r="C21" s="28" t="inlineStr">
        <is>
          <t>2023A</t>
        </is>
      </c>
      <c r="D21" s="28" t="inlineStr">
        <is>
          <t>2024A</t>
        </is>
      </c>
      <c r="E21" s="28" t="inlineStr">
        <is>
          <t>2025A</t>
        </is>
      </c>
      <c r="F21" s="28" t="inlineStr">
        <is>
          <t>2026E</t>
        </is>
      </c>
      <c r="G21" s="28" t="inlineStr">
        <is>
          <t>2027E</t>
        </is>
      </c>
      <c r="H21" s="28" t="inlineStr">
        <is>
          <t>2028E</t>
        </is>
      </c>
      <c r="I21" s="28" t="inlineStr">
        <is>
          <t>2029E</t>
        </is>
      </c>
      <c r="J21" s="28" t="inlineStr">
        <is>
          <t>2030E</t>
        </is>
      </c>
      <c r="K21" s="3" t="n"/>
      <c r="L21" s="3" t="inlineStr">
        <is>
          <t>Formula in the 2026E column</t>
        </is>
      </c>
    </row>
    <row r="22">
      <c r="B22" s="4" t="inlineStr">
        <is>
          <t>EBIT</t>
        </is>
      </c>
      <c r="C22" s="18">
        <f>C14</f>
        <v/>
      </c>
      <c r="D22" s="18">
        <f>D14</f>
        <v/>
      </c>
      <c r="E22" s="18">
        <f>E14</f>
        <v/>
      </c>
      <c r="F22" s="18">
        <f>F14</f>
        <v/>
      </c>
      <c r="G22" s="18">
        <f>G14</f>
        <v/>
      </c>
      <c r="H22" s="18">
        <f>H14</f>
        <v/>
      </c>
      <c r="I22" s="18">
        <f>I14</f>
        <v/>
      </c>
      <c r="J22" s="18">
        <f>J14</f>
        <v/>
      </c>
      <c r="L22" s="34" t="inlineStr">
        <is>
          <t>=F14</t>
        </is>
      </c>
    </row>
    <row r="23">
      <c r="B23" s="41" t="inlineStr">
        <is>
          <t>Less: taxes on EBIT at 25%</t>
        </is>
      </c>
      <c r="C23" s="18">
        <f>-C22*Inputs!C20</f>
        <v/>
      </c>
      <c r="D23" s="18">
        <f>-D22*Inputs!D20</f>
        <v/>
      </c>
      <c r="E23" s="18">
        <f>-E22*Inputs!E20</f>
        <v/>
      </c>
      <c r="F23" s="18">
        <f>-F22*Inputs!C68</f>
        <v/>
      </c>
      <c r="G23" s="18">
        <f>-G22*Inputs!D68</f>
        <v/>
      </c>
      <c r="H23" s="18">
        <f>-H22*Inputs!E68</f>
        <v/>
      </c>
      <c r="I23" s="18">
        <f>-I22*Inputs!F68</f>
        <v/>
      </c>
      <c r="J23" s="18">
        <f>-J22*Inputs!G68</f>
        <v/>
      </c>
      <c r="L23" s="34" t="inlineStr">
        <is>
          <t>=-F22*Inputs!C68</t>
        </is>
      </c>
    </row>
    <row r="24">
      <c r="B24" s="9" t="inlineStr">
        <is>
          <t>NOPAT</t>
        </is>
      </c>
      <c r="C24" s="29">
        <f>C22+C23</f>
        <v/>
      </c>
      <c r="D24" s="29">
        <f>D22+D23</f>
        <v/>
      </c>
      <c r="E24" s="29">
        <f>E22+E23</f>
        <v/>
      </c>
      <c r="F24" s="29">
        <f>F22+F23</f>
        <v/>
      </c>
      <c r="G24" s="29">
        <f>G22+G23</f>
        <v/>
      </c>
      <c r="H24" s="29">
        <f>H22+H23</f>
        <v/>
      </c>
      <c r="I24" s="29">
        <f>I22+I23</f>
        <v/>
      </c>
      <c r="J24" s="29">
        <f>J22+J23</f>
        <v/>
      </c>
      <c r="L24" s="34" t="inlineStr">
        <is>
          <t>=F22+F23</t>
        </is>
      </c>
    </row>
    <row r="25">
      <c r="B25" s="41" t="inlineStr">
        <is>
          <t>Plus: D&amp;A</t>
        </is>
      </c>
      <c r="C25" s="18">
        <f>C16</f>
        <v/>
      </c>
      <c r="D25" s="18">
        <f>D16</f>
        <v/>
      </c>
      <c r="E25" s="18">
        <f>E16</f>
        <v/>
      </c>
      <c r="F25" s="18">
        <f>F16</f>
        <v/>
      </c>
      <c r="G25" s="18">
        <f>G16</f>
        <v/>
      </c>
      <c r="H25" s="18">
        <f>H16</f>
        <v/>
      </c>
      <c r="I25" s="18">
        <f>I16</f>
        <v/>
      </c>
      <c r="J25" s="18">
        <f>J16</f>
        <v/>
      </c>
      <c r="L25" s="34" t="inlineStr">
        <is>
          <t>=F16</t>
        </is>
      </c>
    </row>
    <row r="26">
      <c r="B26" s="41" t="inlineStr">
        <is>
          <t>Less: capex</t>
        </is>
      </c>
      <c r="C26" s="18">
        <f>-C19</f>
        <v/>
      </c>
      <c r="D26" s="18">
        <f>-D19</f>
        <v/>
      </c>
      <c r="E26" s="18">
        <f>-E19</f>
        <v/>
      </c>
      <c r="F26" s="18">
        <f>-F19</f>
        <v/>
      </c>
      <c r="G26" s="18">
        <f>-G19</f>
        <v/>
      </c>
      <c r="H26" s="18">
        <f>-H19</f>
        <v/>
      </c>
      <c r="I26" s="18">
        <f>-I19</f>
        <v/>
      </c>
      <c r="J26" s="18">
        <f>-J19</f>
        <v/>
      </c>
      <c r="L26" s="34" t="inlineStr">
        <is>
          <t>=-F19</t>
        </is>
      </c>
    </row>
    <row r="27">
      <c r="B27" s="41" t="inlineStr">
        <is>
          <t>Less: increase in NWC</t>
        </is>
      </c>
      <c r="C27" s="12">
        <f>Schedules!D13</f>
        <v/>
      </c>
      <c r="D27" s="12">
        <f>Schedules!E13</f>
        <v/>
      </c>
      <c r="E27" s="12">
        <f>Schedules!F13</f>
        <v/>
      </c>
      <c r="F27" s="12">
        <f>Schedules!G13</f>
        <v/>
      </c>
      <c r="G27" s="12">
        <f>Schedules!H13</f>
        <v/>
      </c>
      <c r="H27" s="12">
        <f>Schedules!I13</f>
        <v/>
      </c>
      <c r="I27" s="12">
        <f>Schedules!J13</f>
        <v/>
      </c>
      <c r="J27" s="12">
        <f>Schedules!K13</f>
        <v/>
      </c>
      <c r="L27" s="34" t="inlineStr">
        <is>
          <t>=Schedules!G13</t>
        </is>
      </c>
    </row>
    <row r="28">
      <c r="B28" s="9" t="inlineStr">
        <is>
          <t>Unlevered free cash flow</t>
        </is>
      </c>
      <c r="C28" s="29">
        <f>SUM(C24:C27)</f>
        <v/>
      </c>
      <c r="D28" s="29">
        <f>SUM(D24:D27)</f>
        <v/>
      </c>
      <c r="E28" s="29">
        <f>SUM(E24:E27)</f>
        <v/>
      </c>
      <c r="F28" s="29">
        <f>SUM(F24:F27)</f>
        <v/>
      </c>
      <c r="G28" s="29">
        <f>SUM(G24:G27)</f>
        <v/>
      </c>
      <c r="H28" s="29">
        <f>SUM(H24:H27)</f>
        <v/>
      </c>
      <c r="I28" s="29">
        <f>SUM(I24:I27)</f>
        <v/>
      </c>
      <c r="J28" s="29">
        <f>SUM(J24:J27)</f>
        <v/>
      </c>
      <c r="L28" s="34" t="inlineStr">
        <is>
          <t>=SUM(F24:F27)</t>
        </is>
      </c>
    </row>
    <row r="29">
      <c r="B29" s="4" t="inlineStr">
        <is>
          <t>Year fraction from the valuation date</t>
        </is>
      </c>
      <c r="F29" s="50" t="n">
        <v>1</v>
      </c>
      <c r="G29" s="50" t="n">
        <v>1</v>
      </c>
      <c r="H29" s="50" t="n">
        <v>1</v>
      </c>
      <c r="I29" s="50" t="n">
        <v>1</v>
      </c>
      <c r="J29" s="50" t="n">
        <v>1</v>
      </c>
      <c r="L29" s="34" t="inlineStr">
        <is>
          <t>Input: 1.00, the valuation date is the fiscal year end</t>
        </is>
      </c>
    </row>
    <row r="30">
      <c r="B30" s="4" t="inlineStr">
        <is>
          <t>Discount period (mid-year)</t>
        </is>
      </c>
      <c r="F30" s="51">
        <f>F29/2</f>
        <v/>
      </c>
      <c r="G30" s="51">
        <f>F30+(F29+G29)/2</f>
        <v/>
      </c>
      <c r="H30" s="51">
        <f>G30+(G29+H29)/2</f>
        <v/>
      </c>
      <c r="I30" s="51">
        <f>H30+(H29+I29)/2</f>
        <v/>
      </c>
      <c r="J30" s="51">
        <f>I30+(I29+J29)/2</f>
        <v/>
      </c>
      <c r="L30" s="34" t="inlineStr">
        <is>
          <t>=F29/2</t>
        </is>
      </c>
    </row>
    <row r="31">
      <c r="B31" s="4" t="inlineStr">
        <is>
          <t>Discount factor at 9.16% WACC</t>
        </is>
      </c>
      <c r="F31" s="59">
        <f>1/(1+WACC!$C$17)^F30</f>
        <v/>
      </c>
      <c r="G31" s="59">
        <f>1/(1+WACC!$C$17)^G30</f>
        <v/>
      </c>
      <c r="H31" s="59">
        <f>1/(1+WACC!$C$17)^H30</f>
        <v/>
      </c>
      <c r="I31" s="59">
        <f>1/(1+WACC!$C$17)^I30</f>
        <v/>
      </c>
      <c r="J31" s="59">
        <f>1/(1+WACC!$C$17)^J30</f>
        <v/>
      </c>
      <c r="L31" s="34" t="inlineStr">
        <is>
          <t>=1/(1+WACC!$C$17)^F30</t>
        </is>
      </c>
    </row>
    <row r="32">
      <c r="B32" s="9" t="inlineStr">
        <is>
          <t>Present value of UFCF</t>
        </is>
      </c>
      <c r="F32" s="29">
        <f>F28*F31</f>
        <v/>
      </c>
      <c r="G32" s="29">
        <f>G28*G31</f>
        <v/>
      </c>
      <c r="H32" s="29">
        <f>H28*H31</f>
        <v/>
      </c>
      <c r="I32" s="29">
        <f>I28*I31</f>
        <v/>
      </c>
      <c r="J32" s="29">
        <f>J28*J31</f>
        <v/>
      </c>
      <c r="L32" s="34" t="inlineStr">
        <is>
          <t>=F28*F31</t>
        </is>
      </c>
    </row>
    <row r="34">
      <c r="B34" s="3" t="inlineStr">
        <is>
          <t>TERMINAL VALUE TO SHARE PRICE</t>
        </is>
      </c>
      <c r="C34" s="28" t="inlineStr">
        <is>
          <t>Value</t>
        </is>
      </c>
    </row>
    <row r="35">
      <c r="B35" s="4" t="inlineStr">
        <is>
          <t>Sum of present values, FY2026E to FY2030E</t>
        </is>
      </c>
      <c r="C35" s="29">
        <f>SUM(F32:J32)</f>
        <v/>
      </c>
    </row>
    <row r="36">
      <c r="B36" s="4" t="inlineStr">
        <is>
          <t>FY2030E EBITDA</t>
        </is>
      </c>
      <c r="C36" s="18">
        <f>J17</f>
        <v/>
      </c>
    </row>
    <row r="37">
      <c r="B37" s="4" t="inlineStr">
        <is>
          <t>Exit multiple</t>
        </is>
      </c>
      <c r="C37" s="60" t="n">
        <v>9.5</v>
      </c>
    </row>
    <row r="38">
      <c r="B38" s="4" t="inlineStr">
        <is>
          <t>Terminal value at the end of FY2030</t>
        </is>
      </c>
      <c r="C38" s="18">
        <f>C36*C37</f>
        <v/>
      </c>
    </row>
    <row r="39">
      <c r="B39" s="4" t="inlineStr">
        <is>
          <t>Discount factor, 5.0 years</t>
        </is>
      </c>
      <c r="C39" s="59">
        <f>1/(1+WACC!$C$17)^SUM(F29:J29)</f>
        <v/>
      </c>
    </row>
    <row r="40">
      <c r="B40" s="4" t="inlineStr">
        <is>
          <t>Present value of terminal value</t>
        </is>
      </c>
      <c r="C40" s="18">
        <f>C38*C39</f>
        <v/>
      </c>
    </row>
    <row r="41">
      <c r="B41" s="9" t="inlineStr">
        <is>
          <t>Enterprise value</t>
        </is>
      </c>
      <c r="C41" s="29">
        <f>C35+C40</f>
        <v/>
      </c>
    </row>
    <row r="42">
      <c r="B42" s="4" t="inlineStr">
        <is>
          <t>Terminal value as a share of enterprise value</t>
        </is>
      </c>
      <c r="C42" s="19">
        <f>C40/C41</f>
        <v/>
      </c>
    </row>
    <row r="43">
      <c r="B43" s="4" t="inlineStr">
        <is>
          <t>Less: total debt</t>
        </is>
      </c>
      <c r="C43" s="12">
        <f>-'Cost of debt'!C8</f>
        <v/>
      </c>
    </row>
    <row r="44">
      <c r="B44" s="4" t="inlineStr">
        <is>
          <t>Plus: cash</t>
        </is>
      </c>
      <c r="C44" s="8" t="n">
        <v>95</v>
      </c>
    </row>
    <row r="45">
      <c r="B45" s="4" t="inlineStr">
        <is>
          <t>Less: noncontrolling interest</t>
        </is>
      </c>
      <c r="C45" s="8" t="n">
        <v>-10</v>
      </c>
    </row>
    <row r="46">
      <c r="B46" s="9" t="inlineStr">
        <is>
          <t>Equity value</t>
        </is>
      </c>
      <c r="C46" s="29">
        <f>C41+C43+C44+C45</f>
        <v/>
      </c>
    </row>
    <row r="47">
      <c r="B47" s="4" t="inlineStr">
        <is>
          <t>Diluted shares (millions)</t>
        </is>
      </c>
      <c r="C47" s="12">
        <f>Cover!C10</f>
        <v/>
      </c>
    </row>
    <row r="48">
      <c r="B48" s="9" t="inlineStr">
        <is>
          <t>Implied share price ($)</t>
        </is>
      </c>
      <c r="C48" s="61">
        <f>C46/C47</f>
        <v/>
      </c>
    </row>
    <row r="49">
      <c r="B49" s="4" t="inlineStr">
        <is>
          <t>Current share price ($)</t>
        </is>
      </c>
      <c r="C49" s="58">
        <f>Cover!C9</f>
        <v/>
      </c>
    </row>
    <row r="50">
      <c r="B50" s="4" t="inlineStr">
        <is>
          <t>Implied upside / (downside)</t>
        </is>
      </c>
      <c r="C50" s="19">
        <f>C48/C49-1</f>
        <v/>
      </c>
    </row>
    <row r="51">
      <c r="B51" s="4" t="inlineStr">
        <is>
          <t>Implied share price with end-of-year discounting ($)</t>
        </is>
      </c>
      <c r="C51" s="20">
        <f>(SUMPRODUCT(F28:J28/(1+WACC!$C$17)^(F30:J30+F29:J29/2))+C40+C43+C44+C45)/C47</f>
        <v/>
      </c>
    </row>
    <row r="52">
      <c r="B52" s="4" t="inlineStr">
        <is>
          <t>Gordon cross-check: implied perpetual growth in the 9.5x multiple</t>
        </is>
      </c>
      <c r="C52" s="57">
        <f>(C38*WACC!$C$17-J28)/(C38+J28)</f>
        <v/>
      </c>
    </row>
    <row r="53">
      <c r="B53" s="4" t="inlineStr">
        <is>
          <t>Gordon cross-check: perpetual growth rate</t>
        </is>
      </c>
      <c r="C53" s="35" t="n">
        <v>0.025</v>
      </c>
    </row>
    <row r="54">
      <c r="B54" s="4" t="inlineStr">
        <is>
          <t>Gordon cross-check: terminal value at 2.5% growth</t>
        </is>
      </c>
      <c r="C54" s="18">
        <f>J28*(1+C53)/(WACC!$C$17-C53)</f>
        <v/>
      </c>
    </row>
    <row r="55">
      <c r="B55" s="4" t="inlineStr">
        <is>
          <t>Gordon cross-check: implied exit multiple</t>
        </is>
      </c>
      <c r="C55" s="62">
        <f>C54/C36</f>
        <v/>
      </c>
    </row>
    <row r="56">
      <c r="B56" s="4" t="inlineStr">
        <is>
          <t>Gordon cross-check: implied share price at 2.5% growth ($)</t>
        </is>
      </c>
      <c r="C56" s="20">
        <f>(C35+C54*C39+C43+C44+C45)/C47</f>
        <v/>
      </c>
    </row>
    <row r="57">
      <c r="B57" s="4" t="inlineStr">
        <is>
          <t>Current EV / LTM EBITDA (market, for reference)</t>
        </is>
      </c>
      <c r="C57" s="62">
        <f>(WACC!C13+WACC!C14-C44-C45)/E17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27" t="inlineStr">
        <is>
          <t>Torvik Flow Systems: Sensitivity</t>
        </is>
      </c>
    </row>
    <row r="2">
      <c r="B2" s="2" t="inlineStr">
        <is>
          <t>Implied share price ($) by WACC (down) and exit multiple (across).</t>
        </is>
      </c>
    </row>
    <row r="4">
      <c r="B4" s="3" t="inlineStr">
        <is>
          <t>SENSITIVITY: IMPLIED SHARE PRICE, WACC (DOWN) VS EXIT MULTIPLE (ACROSS)</t>
        </is>
      </c>
      <c r="C4" s="3" t="n"/>
      <c r="D4" s="3" t="n"/>
      <c r="E4" s="3" t="n"/>
      <c r="F4" s="3" t="n"/>
      <c r="G4" s="3" t="n"/>
      <c r="H4" s="3" t="n"/>
    </row>
    <row r="5">
      <c r="B5" s="2" t="inlineStr">
        <is>
          <t>Body: an Excel data table, WACC as the column input, exit multiple as the row input. Values shown.</t>
        </is>
      </c>
    </row>
    <row r="6">
      <c r="B6" s="4" t="inlineStr">
        <is>
          <t>WACC step (down the side)</t>
        </is>
      </c>
      <c r="C6" s="45" t="n">
        <v>0.005</v>
      </c>
    </row>
    <row r="7">
      <c r="B7" s="4" t="inlineStr">
        <is>
          <t>Exit multiple step (across the top)</t>
        </is>
      </c>
      <c r="C7" s="60" t="n">
        <v>0.5</v>
      </c>
    </row>
    <row r="9">
      <c r="B9" s="63" t="inlineStr">
        <is>
          <t>WACC (down) / exit multiple (across)</t>
        </is>
      </c>
      <c r="C9" s="64">
        <f>DCF!C48</f>
        <v/>
      </c>
      <c r="D9" s="65">
        <f>DCF!$C$37-2*$C$7</f>
        <v/>
      </c>
      <c r="E9" s="65">
        <f>DCF!$C$37-1*$C$7</f>
        <v/>
      </c>
      <c r="F9" s="65">
        <f>DCF!$C$37</f>
        <v/>
      </c>
      <c r="G9" s="65">
        <f>DCF!$C$37+1*$C$7</f>
        <v/>
      </c>
      <c r="H9" s="65">
        <f>DCF!$C$37+2*$C$7</f>
        <v/>
      </c>
    </row>
    <row r="10">
      <c r="C10" s="49">
        <f>WACC!$C$17-2*$C$6</f>
        <v/>
      </c>
      <c r="D10" s="20" t="n">
        <v>36.59611460725326</v>
      </c>
      <c r="E10" s="20" t="n">
        <v>38.42789018862491</v>
      </c>
      <c r="F10" s="20" t="n">
        <v>40.25966576999654</v>
      </c>
      <c r="G10" s="20" t="n">
        <v>42.09144135136818</v>
      </c>
      <c r="H10" s="20" t="n">
        <v>43.92321693273982</v>
      </c>
    </row>
    <row r="11">
      <c r="C11" s="49">
        <f>WACC!$C$17-1*$C$6</f>
        <v/>
      </c>
      <c r="D11" s="20" t="n">
        <v>35.76453882696273</v>
      </c>
      <c r="E11" s="20" t="n">
        <v>37.55455770026609</v>
      </c>
      <c r="F11" s="20" t="n">
        <v>39.34457657356946</v>
      </c>
      <c r="G11" s="20" t="n">
        <v>41.13459544687283</v>
      </c>
      <c r="H11" s="20" t="n">
        <v>42.92461432017618</v>
      </c>
    </row>
    <row r="12">
      <c r="C12" s="49">
        <f>WACC!$C$17</f>
        <v/>
      </c>
      <c r="D12" s="20" t="n">
        <v>34.9546652567124</v>
      </c>
      <c r="E12" s="20" t="n">
        <v>36.70406448092548</v>
      </c>
      <c r="F12" s="23" t="n">
        <v>38.45346370513856</v>
      </c>
      <c r="G12" s="20" t="n">
        <v>40.20286292935163</v>
      </c>
      <c r="H12" s="20" t="n">
        <v>41.9522621535647</v>
      </c>
    </row>
    <row r="13">
      <c r="C13" s="49">
        <f>WACC!$C$17+1*$C$6</f>
        <v/>
      </c>
      <c r="D13" s="20" t="n">
        <v>34.16582242437531</v>
      </c>
      <c r="E13" s="20" t="n">
        <v>35.87570309869742</v>
      </c>
      <c r="F13" s="20" t="n">
        <v>37.58558377301953</v>
      </c>
      <c r="G13" s="20" t="n">
        <v>39.29546444734163</v>
      </c>
      <c r="H13" s="20" t="n">
        <v>41.00534512166373</v>
      </c>
    </row>
    <row r="14">
      <c r="C14" s="49">
        <f>WACC!$C$17+2*$C$6</f>
        <v/>
      </c>
      <c r="D14" s="20" t="n">
        <v>33.39736269180864</v>
      </c>
      <c r="E14" s="20" t="n">
        <v>35.06879124950579</v>
      </c>
      <c r="F14" s="20" t="n">
        <v>36.74021980720294</v>
      </c>
      <c r="G14" s="20" t="n">
        <v>38.4116483649001</v>
      </c>
      <c r="H14" s="20" t="n">
        <v>40.08307692259724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:title xmlns:dc="http://purl.org/dc/elements/1.1/">Torvik Flow Systems DCF (modeling test example)</dc:title>
  <dcterms:created xmlns:dcterms="http://purl.org/dc/terms/" xmlns:xsi="http://www.w3.org/2001/XMLSchema-instance" xsi:type="dcterms:W3CDTF">2026-10-05T18:07:01Z</dcterms:created>
  <dcterms:modified xmlns:dcterms="http://purl.org/dc/terms/" xmlns:xsi="http://www.w3.org/2001/XMLSchema-instance" xsi:type="dcterms:W3CDTF">2026-10-05T18:07:01Z</dcterms:modified>
  <cp:lastModifiedBy>Wall Street Guide</cp:lastModifiedBy>
</cp:coreProperties>
</file>