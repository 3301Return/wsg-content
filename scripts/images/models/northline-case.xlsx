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line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&quot;$&quot;#,##0;(&quot;$&quot;#,##0);&quot;-&quot;"/>
    <numFmt numFmtId="166" formatCode="0.0%"/>
    <numFmt numFmtId="167" formatCode="0&quot; min&quot;"/>
  </numFmts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2"/>
    </font>
    <font>
      <name val="Arial"/>
      <i val="1"/>
      <color rgb="0052514E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horizontal="right" wrapText="1"/>
    </xf>
    <xf numFmtId="0" fontId="6" fillId="0" borderId="0" pivotButton="0" quotePrefix="0" xfId="0"/>
    <xf numFmtId="164" fontId="7" fillId="3" borderId="0" pivotButton="0" quotePrefix="0" xfId="0"/>
    <xf numFmtId="9" fontId="7" fillId="3" borderId="0" pivotButton="0" quotePrefix="0" xfId="0"/>
    <xf numFmtId="0" fontId="6" fillId="0" borderId="0" applyAlignment="1" pivotButton="0" quotePrefix="0" xfId="0">
      <alignment indent="1"/>
    </xf>
    <xf numFmtId="164" fontId="6" fillId="0" borderId="0" pivotButton="0" quotePrefix="0" xfId="0"/>
    <xf numFmtId="165" fontId="7" fillId="3" borderId="0" pivotButton="0" quotePrefix="0" xfId="0"/>
    <xf numFmtId="165" fontId="6" fillId="0" borderId="0" pivotButton="0" quotePrefix="0" xfId="0"/>
    <xf numFmtId="0" fontId="8" fillId="0" borderId="2" pivotButton="0" quotePrefix="0" xfId="0"/>
    <xf numFmtId="165" fontId="8" fillId="0" borderId="2" pivotButton="0" quotePrefix="0" xfId="0"/>
    <xf numFmtId="0" fontId="9" fillId="0" borderId="0" pivotButton="0" quotePrefix="0" xfId="0"/>
    <xf numFmtId="166" fontId="6" fillId="0" borderId="0" pivotButton="0" quotePrefix="0" xfId="0"/>
    <xf numFmtId="167" fontId="7" fillId="3" borderId="0" pivotButton="0" quotePrefix="0" xfId="0"/>
    <xf numFmtId="167" fontId="6" fillId="0" borderId="0" pivotButton="0" quotePrefix="0" xfId="0"/>
    <xf numFmtId="164" fontId="8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Northline Foods, on-time delivery case</t>
        </is>
      </c>
    </row>
    <row r="3">
      <c r="B3" s="2" t="inlineStr">
        <is>
          <t>Blue cells on yellow are the numbers the interviewer gives you; black cells are formulas.</t>
        </is>
      </c>
    </row>
    <row r="5">
      <c r="B5" s="3" t="inlineStr">
        <is>
          <t>Step two: the cost of late deliveries</t>
        </is>
      </c>
      <c r="C5" s="3" t="n"/>
      <c r="D5" s="3" t="n"/>
      <c r="E5" s="3" t="n"/>
      <c r="F5" s="3" t="n"/>
    </row>
    <row r="6">
      <c r="D6" s="4" t="inlineStr">
        <is>
          <t>Last year</t>
        </is>
      </c>
      <c r="E6" s="4" t="inlineStr">
        <is>
          <t>This year</t>
        </is>
      </c>
    </row>
    <row r="7">
      <c r="B7" s="5" t="inlineStr">
        <is>
          <t>Deliveries a week</t>
        </is>
      </c>
      <c r="D7" s="6" t="n">
        <v>1750</v>
      </c>
      <c r="E7" s="6" t="n">
        <v>2000</v>
      </c>
    </row>
    <row r="8">
      <c r="B8" s="5" t="inlineStr">
        <is>
          <t>On-time rate</t>
        </is>
      </c>
      <c r="D8" s="7" t="n">
        <v>0.96</v>
      </c>
      <c r="E8" s="7" t="n">
        <v>0.88</v>
      </c>
    </row>
    <row r="9">
      <c r="B9" s="8" t="inlineStr">
        <is>
          <t>Late deliveries a week</t>
        </is>
      </c>
      <c r="D9" s="9">
        <f>D7*(1-D8)</f>
        <v/>
      </c>
      <c r="E9" s="9">
        <f>E7*(1-E8)</f>
        <v/>
      </c>
    </row>
    <row r="10">
      <c r="B10" s="5" t="inlineStr">
        <is>
          <t>Cost per late delivery (credits, redelivery, spoilage)</t>
        </is>
      </c>
      <c r="D10" s="10" t="n">
        <v>150</v>
      </c>
      <c r="E10" s="10" t="n">
        <v>150</v>
      </c>
    </row>
    <row r="11">
      <c r="B11" s="8" t="inlineStr">
        <is>
          <t>Weekly cost of late deliveries</t>
        </is>
      </c>
      <c r="D11" s="11">
        <f>D9*D10</f>
        <v/>
      </c>
      <c r="E11" s="11">
        <f>E9*E10</f>
        <v/>
      </c>
    </row>
    <row r="12">
      <c r="B12" s="5" t="inlineStr">
        <is>
          <t>Weeks a year</t>
        </is>
      </c>
      <c r="D12" s="6" t="n">
        <v>52</v>
      </c>
      <c r="E12" s="6" t="n">
        <v>52</v>
      </c>
    </row>
    <row r="13">
      <c r="B13" s="12" t="inlineStr">
        <is>
          <t>Annual cost of late deliveries</t>
        </is>
      </c>
      <c r="D13" s="13">
        <f>D11*D12</f>
        <v/>
      </c>
      <c r="E13" s="13">
        <f>E11*E12</f>
        <v/>
      </c>
    </row>
    <row r="14">
      <c r="B14" s="14" t="inlineStr">
        <is>
          <t>Increase in the annual cost (the number the CFO remembers)</t>
        </is>
      </c>
      <c r="E14" s="11">
        <f>E13-D13</f>
        <v/>
      </c>
    </row>
    <row r="16">
      <c r="B16" s="3" t="inlineStr">
        <is>
          <t>Step three: capacity and the loading problem</t>
        </is>
      </c>
      <c r="C16" s="3" t="n"/>
      <c r="D16" s="3" t="n"/>
      <c r="E16" s="3" t="n"/>
      <c r="F16" s="3" t="n"/>
    </row>
    <row r="17">
      <c r="D17" s="4" t="inlineStr">
        <is>
          <t>Last year</t>
        </is>
      </c>
      <c r="E17" s="4" t="inlineStr">
        <is>
          <t>This year</t>
        </is>
      </c>
    </row>
    <row r="18">
      <c r="B18" s="5" t="inlineStr">
        <is>
          <t>Trucks</t>
        </is>
      </c>
      <c r="D18" s="6" t="n">
        <v>40</v>
      </c>
      <c r="E18" s="6" t="n">
        <v>40</v>
      </c>
    </row>
    <row r="19">
      <c r="B19" s="5" t="inlineStr">
        <is>
          <t>Deliveries each truck can handle a week</t>
        </is>
      </c>
      <c r="D19" s="6" t="n">
        <v>50</v>
      </c>
      <c r="E19" s="6" t="n">
        <v>50</v>
      </c>
    </row>
    <row r="20">
      <c r="B20" s="8" t="inlineStr">
        <is>
          <t>Fleet capacity (deliveries a week)</t>
        </is>
      </c>
      <c r="D20" s="9">
        <f>D18*D19</f>
        <v/>
      </c>
      <c r="E20" s="9">
        <f>E18*E19</f>
        <v/>
      </c>
    </row>
    <row r="21">
      <c r="B21" s="8" t="inlineStr">
        <is>
          <t>Utilization (demand over capacity)</t>
        </is>
      </c>
      <c r="D21" s="15">
        <f>D7/D20</f>
        <v/>
      </c>
      <c r="E21" s="15">
        <f>E7/E20</f>
        <v/>
      </c>
    </row>
    <row r="22">
      <c r="B22" s="5" t="inlineStr">
        <is>
          <t>Loading time per truck per day (minutes)</t>
        </is>
      </c>
      <c r="D22" s="16" t="n">
        <v>40</v>
      </c>
      <c r="E22" s="16" t="n">
        <v>55</v>
      </c>
    </row>
    <row r="23">
      <c r="B23" s="8" t="inlineStr">
        <is>
          <t>Extra loading minutes per truck per day</t>
        </is>
      </c>
      <c r="E23" s="17">
        <f>E22-D22</f>
        <v/>
      </c>
    </row>
    <row r="24">
      <c r="B24" s="5" t="inlineStr">
        <is>
          <t>Loading days a week</t>
        </is>
      </c>
      <c r="E24" s="6" t="n">
        <v>5</v>
      </c>
    </row>
    <row r="25">
      <c r="B25" s="8" t="inlineStr">
        <is>
          <t>Truck-hours a week lost to loading</t>
        </is>
      </c>
      <c r="E25" s="9">
        <f>E23*E24*E18/60</f>
        <v/>
      </c>
    </row>
    <row r="26">
      <c r="B26" s="5" t="inlineStr">
        <is>
          <t>Minutes per delivery stop</t>
        </is>
      </c>
      <c r="E26" s="16" t="n">
        <v>30</v>
      </c>
    </row>
    <row r="27">
      <c r="B27" s="8" t="inlineStr">
        <is>
          <t>Deliveries a week lost to loading</t>
        </is>
      </c>
      <c r="E27" s="9">
        <f>E25*60/E26</f>
        <v/>
      </c>
    </row>
    <row r="28">
      <c r="B28" s="12" t="inlineStr">
        <is>
          <t>Effective capacity this year (deliveries a week)</t>
        </is>
      </c>
      <c r="E28" s="18">
        <f>E20-E27</f>
        <v/>
      </c>
    </row>
    <row r="29">
      <c r="B29" s="14" t="inlineStr">
        <is>
          <t>Demand this year, for comparison</t>
        </is>
      </c>
      <c r="E29" s="9">
        <f>E7</f>
        <v/>
      </c>
    </row>
    <row r="31">
      <c r="B31" s="3" t="inlineStr">
        <is>
          <t>Step four: two levers, cheapest first</t>
        </is>
      </c>
      <c r="C31" s="3" t="n"/>
      <c r="D31" s="3" t="n"/>
      <c r="E31" s="3" t="n"/>
      <c r="F31" s="3" t="n"/>
    </row>
    <row r="32">
      <c r="D32" s="4" t="inlineStr">
        <is>
          <t>Deliveries a week</t>
        </is>
      </c>
      <c r="E32" s="4" t="inlineStr">
        <is>
          <t>One-time cost</t>
        </is>
      </c>
      <c r="F32" s="4" t="inlineStr">
        <is>
          <t>Annual cost</t>
        </is>
      </c>
    </row>
    <row r="33">
      <c r="B33" s="5" t="inlineStr">
        <is>
          <t>Re-slot the chilled pick, stage pallets the night before</t>
        </is>
      </c>
      <c r="D33" s="9">
        <f>E27</f>
        <v/>
      </c>
      <c r="E33" s="10" t="n">
        <v>120000</v>
      </c>
      <c r="F33" s="10" t="n">
        <v>0</v>
      </c>
    </row>
    <row r="34">
      <c r="B34" s="5" t="inlineStr">
        <is>
          <t>Lease three trucks with drivers</t>
        </is>
      </c>
      <c r="D34" s="9">
        <f>D35*D19</f>
        <v/>
      </c>
      <c r="E34" s="10" t="n">
        <v>0</v>
      </c>
      <c r="F34" s="11">
        <f>D35*D36</f>
        <v/>
      </c>
    </row>
    <row r="35">
      <c r="B35" s="8" t="inlineStr">
        <is>
          <t>Trucks leased</t>
        </is>
      </c>
      <c r="D35" s="6" t="n">
        <v>3</v>
      </c>
    </row>
    <row r="36">
      <c r="B36" s="8" t="inlineStr">
        <is>
          <t>Lease cost per truck with driver, a year</t>
        </is>
      </c>
      <c r="D36" s="10" t="n">
        <v>150000</v>
      </c>
    </row>
    <row r="37">
      <c r="B37" s="12" t="inlineStr">
        <is>
          <t>Combined</t>
        </is>
      </c>
      <c r="D37" s="18">
        <f>D33+D34</f>
        <v/>
      </c>
      <c r="E37" s="13">
        <f>E33+E34</f>
        <v/>
      </c>
      <c r="F37" s="13">
        <f>F33+F34</f>
        <v/>
      </c>
    </row>
    <row r="38">
      <c r="B38" s="8" t="inlineStr">
        <is>
          <t>Capacity after both levers (deliveries a week)</t>
        </is>
      </c>
      <c r="D38" s="9">
        <f>E28+D37</f>
        <v/>
      </c>
    </row>
    <row r="39">
      <c r="B39" s="8" t="inlineStr">
        <is>
          <t>Utilization after both levers</t>
        </is>
      </c>
      <c r="D39" s="15">
        <f>E7/D38</f>
        <v/>
      </c>
    </row>
    <row r="41">
      <c r="B41" s="3" t="inlineStr">
        <is>
          <t>The payback if on-time delivery returns to 96 percent</t>
        </is>
      </c>
      <c r="C41" s="3" t="n"/>
      <c r="D41" s="3" t="n"/>
      <c r="E41" s="3" t="n"/>
      <c r="F41" s="3" t="n"/>
    </row>
    <row r="42">
      <c r="B42" s="5" t="inlineStr">
        <is>
          <t>Target on-time rate</t>
        </is>
      </c>
      <c r="D42" s="7" t="n">
        <v>0.96</v>
      </c>
    </row>
    <row r="43">
      <c r="B43" s="8" t="inlineStr">
        <is>
          <t>Late deliveries a week at the target</t>
        </is>
      </c>
      <c r="D43" s="9">
        <f>E7*(1-D42)</f>
        <v/>
      </c>
    </row>
    <row r="44">
      <c r="B44" s="8" t="inlineStr">
        <is>
          <t>Annual cost of lateness at the target</t>
        </is>
      </c>
      <c r="D44" s="11">
        <f>D43*E10*E12</f>
        <v/>
      </c>
    </row>
    <row r="45">
      <c r="B45" s="12" t="inlineStr">
        <is>
          <t>Annual saving against today</t>
        </is>
      </c>
      <c r="D45" s="13">
        <f>E13-D44</f>
        <v/>
      </c>
    </row>
    <row r="46">
      <c r="B46" s="8" t="inlineStr">
        <is>
          <t>Less: annual truck leases</t>
        </is>
      </c>
      <c r="D46" s="11">
        <f>-F37</f>
        <v/>
      </c>
    </row>
    <row r="47">
      <c r="B47" s="12" t="inlineStr">
        <is>
          <t>Net annual saving, the company keeps</t>
        </is>
      </c>
      <c r="D47" s="13">
        <f>D45+D46</f>
        <v/>
      </c>
    </row>
    <row r="48">
      <c r="B48" s="8" t="inlineStr">
        <is>
          <t>Less: one-time loading fix</t>
        </is>
      </c>
      <c r="D48" s="11">
        <f>-E37</f>
        <v/>
      </c>
    </row>
    <row r="49">
      <c r="B49" s="12" t="inlineStr">
        <is>
          <t>Year one net saving</t>
        </is>
      </c>
      <c r="D49" s="13">
        <f>D47+D48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Wall Street Guide</dc:creator>
  <dcterms:created xmlns:dcterms="http://purl.org/dc/terms/" xmlns:xsi="http://www.w3.org/2001/XMLSchema-instance" xsi:type="dcterms:W3CDTF">2026-10-05T18:28:58Z</dcterms:created>
  <dcterms:modified xmlns:dcterms="http://purl.org/dc/terms/" xmlns:xsi="http://www.w3.org/2001/XMLSchema-instance" xsi:type="dcterms:W3CDTF">2026-10-05T18:28:58Z</dcterms:modified>
  <cp:lastModifiedBy>Wall Street Guide</cp:lastModifiedBy>
</cp:coreProperties>
</file>