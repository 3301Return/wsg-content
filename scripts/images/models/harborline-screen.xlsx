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" sheetId="1" state="visible" r:id="rId1"/>
    <sheet xmlns:r="http://schemas.openxmlformats.org/officeDocument/2006/relationships" name="Deal" sheetId="2" state="visible" r:id="rId2"/>
    <sheet xmlns:r="http://schemas.openxmlformats.org/officeDocument/2006/relationships" name="Retur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0">
    <numFmt numFmtId="164" formatCode="&quot;$&quot;#,##0.0;(&quot;$&quot;#,##0.0);&quot;$&quot;0.0"/>
    <numFmt numFmtId="165" formatCode="0.0%;(0.0%);0.0%"/>
    <numFmt numFmtId="166" formatCode="&quot;$&quot;#,##0;(&quot;$&quot;#,##0);&quot;$&quot;0"/>
    <numFmt numFmtId="167" formatCode="#,##0;(#,##0);0"/>
    <numFmt numFmtId="168" formatCode="0.0&quot; months&quot;"/>
    <numFmt numFmtId="169" formatCode="0.0&quot;x&quot;"/>
    <numFmt numFmtId="170" formatCode="0.00&quot;x&quot;"/>
    <numFmt numFmtId="171" formatCode="0.00%;(0.00%);0.00%"/>
    <numFmt numFmtId="172" formatCode="&quot;$&quot;#,##0.00"/>
    <numFmt numFmtId="173" formatCode="0.0%"/>
  </numFmts>
  <fonts count="11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000000"/>
      <sz val="12"/>
    </font>
    <font>
      <name val="Arial"/>
      <i val="1"/>
      <color rgb="0052514E"/>
      <sz val="10"/>
    </font>
    <font>
      <name val="Arial"/>
      <b val="1"/>
      <color rgb="00FFFFFF"/>
      <sz val="10"/>
    </font>
    <font>
      <name val="Arial"/>
      <b val="1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b val="1"/>
      <color rgb="00000000"/>
      <sz val="10"/>
    </font>
    <font>
      <name val="Arial"/>
      <color rgb="00008000"/>
      <sz val="10"/>
    </font>
    <font>
      <name val="Arial"/>
      <i val="1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0B2545"/>
      </patternFill>
    </fill>
    <fill>
      <patternFill patternType="solid">
        <fgColor rgb="00FFF9E6"/>
      </patternFill>
    </fill>
  </fills>
  <borders count="3">
    <border>
      <left/>
      <right/>
      <top/>
      <bottom/>
      <diagonal/>
    </border>
    <border>
      <bottom style="thin">
        <color rgb="00000000"/>
      </bottom>
    </border>
    <border>
      <top style="thin">
        <color rgb="00000000"/>
      </top>
    </border>
  </borders>
  <cellStyleXfs count="1">
    <xf numFmtId="0" fontId="1" fillId="0" borderId="0"/>
  </cellStyleXfs>
  <cellXfs count="37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1" applyAlignment="1" pivotButton="0" quotePrefix="0" xfId="0">
      <alignment horizontal="left" vertical="bottom" wrapText="1"/>
    </xf>
    <xf numFmtId="0" fontId="5" fillId="0" borderId="1" applyAlignment="1" pivotButton="0" quotePrefix="0" xfId="0">
      <alignment horizontal="right" vertical="bottom" wrapText="1"/>
    </xf>
    <xf numFmtId="0" fontId="6" fillId="0" borderId="0" pivotButton="0" quotePrefix="0" xfId="0"/>
    <xf numFmtId="164" fontId="7" fillId="3" borderId="0" pivotButton="0" quotePrefix="0" xfId="0"/>
    <xf numFmtId="0" fontId="8" fillId="0" borderId="2" pivotButton="0" quotePrefix="0" xfId="0"/>
    <xf numFmtId="164" fontId="8" fillId="0" borderId="2" pivotButton="0" quotePrefix="0" xfId="0"/>
    <xf numFmtId="164" fontId="6" fillId="0" borderId="0" pivotButton="0" quotePrefix="0" xfId="0"/>
    <xf numFmtId="165" fontId="6" fillId="0" borderId="0" pivotButton="0" quotePrefix="0" xfId="0"/>
    <xf numFmtId="165" fontId="7" fillId="3" borderId="0" pivotButton="0" quotePrefix="0" xfId="0"/>
    <xf numFmtId="166" fontId="7" fillId="3" borderId="0" pivotButton="0" quotePrefix="0" xfId="0"/>
    <xf numFmtId="167" fontId="6" fillId="0" borderId="0" pivotButton="0" quotePrefix="0" xfId="0"/>
    <xf numFmtId="166" fontId="6" fillId="0" borderId="0" pivotButton="0" quotePrefix="0" xfId="0"/>
    <xf numFmtId="168" fontId="6" fillId="0" borderId="0" pivotButton="0" quotePrefix="0" xfId="0"/>
    <xf numFmtId="169" fontId="6" fillId="0" borderId="0" pivotButton="0" quotePrefix="0" xfId="0"/>
    <xf numFmtId="170" fontId="6" fillId="0" borderId="0" pivotButton="0" quotePrefix="0" xfId="0"/>
    <xf numFmtId="1" fontId="6" fillId="0" borderId="0" pivotButton="0" quotePrefix="0" xfId="0"/>
    <xf numFmtId="171" fontId="6" fillId="0" borderId="0" pivotButton="0" quotePrefix="0" xfId="0"/>
    <xf numFmtId="164" fontId="9" fillId="0" borderId="0" pivotButton="0" quotePrefix="0" xfId="0"/>
    <xf numFmtId="172" fontId="6" fillId="0" borderId="0" pivotButton="0" quotePrefix="0" xfId="0"/>
    <xf numFmtId="167" fontId="8" fillId="0" borderId="2" pivotButton="0" quotePrefix="0" xfId="0"/>
    <xf numFmtId="167" fontId="7" fillId="3" borderId="0" pivotButton="0" quotePrefix="0" xfId="0"/>
    <xf numFmtId="173" fontId="6" fillId="0" borderId="0" pivotButton="0" quotePrefix="0" xfId="0"/>
    <xf numFmtId="10" fontId="6" fillId="0" borderId="0" pivotButton="0" quotePrefix="0" xfId="0"/>
    <xf numFmtId="173" fontId="8" fillId="0" borderId="2" pivotButton="0" quotePrefix="0" xfId="0"/>
    <xf numFmtId="10" fontId="8" fillId="0" borderId="2" pivotButton="0" quotePrefix="0" xfId="0"/>
    <xf numFmtId="10" fontId="10" fillId="0" borderId="0" pivotButton="0" quotePrefix="0" xfId="0"/>
    <xf numFmtId="171" fontId="9" fillId="0" borderId="0" pivotButton="0" quotePrefix="0" xfId="0"/>
    <xf numFmtId="169" fontId="7" fillId="3" borderId="0" pivotButton="0" quotePrefix="0" xfId="0"/>
    <xf numFmtId="1" fontId="7" fillId="3" borderId="0" pivotButton="0" quotePrefix="0" xfId="0"/>
    <xf numFmtId="0" fontId="6" fillId="0" borderId="0" applyAlignment="1" pivotButton="0" quotePrefix="0" xfId="0">
      <alignment horizontal="right"/>
    </xf>
    <xf numFmtId="0" fontId="5" fillId="0" borderId="1" applyAlignment="1" pivotButton="0" quotePrefix="0" xfId="0">
      <alignment horizontal="left" vertical="bottom"/>
    </xf>
    <xf numFmtId="0" fontId="5" fillId="0" borderId="1" applyAlignment="1" pivotButton="0" quotePrefix="0" xfId="0">
      <alignment horizontal="right" vertical="bottom"/>
    </xf>
    <xf numFmtId="164" fontId="6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4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4" customWidth="1" min="2" max="2"/>
    <col width="2" customWidth="1" min="3" max="3"/>
    <col width="13" customWidth="1" min="4" max="4"/>
    <col width="2" customWidth="1" min="5" max="5"/>
    <col width="50" customWidth="1" min="6" max="6"/>
  </cols>
  <sheetData>
    <row r="2">
      <c r="B2" s="1" t="inlineStr">
        <is>
          <t>Harborline (fictional): ARR bridge, retention and unit economics</t>
        </is>
      </c>
    </row>
    <row r="3">
      <c r="B3" s="2" t="inlineStr">
        <is>
          <t>$ millions unless a line says otherwise. Blue on yellow = typed input, black = formula.</t>
        </is>
      </c>
    </row>
    <row r="5">
      <c r="B5" s="3" t="inlineStr">
        <is>
          <t>ARR BRIDGE, LAST TWELVE MONTHS</t>
        </is>
      </c>
      <c r="C5" s="3" t="n"/>
      <c r="D5" s="3" t="n"/>
      <c r="E5" s="3" t="n"/>
      <c r="F5" s="3" t="n"/>
    </row>
    <row r="6">
      <c r="B6" s="4" t="inlineStr">
        <is>
          <t>Line</t>
        </is>
      </c>
      <c r="D6" s="5" t="inlineStr">
        <is>
          <t>$ millions</t>
        </is>
      </c>
      <c r="F6" s="4" t="inlineStr">
        <is>
          <t>How it is calculated</t>
        </is>
      </c>
    </row>
    <row r="7">
      <c r="B7" s="6" t="inlineStr">
        <is>
          <t>Beginning ARR (start of year)</t>
        </is>
      </c>
      <c r="D7" s="7" t="n">
        <v>40</v>
      </c>
      <c r="F7" s="2" t="inlineStr">
        <is>
          <t>given</t>
        </is>
      </c>
    </row>
    <row r="8">
      <c r="B8" s="6" t="inlineStr">
        <is>
          <t>Minus churned ARR</t>
        </is>
      </c>
      <c r="D8" s="7" t="n">
        <v>-4</v>
      </c>
      <c r="F8" s="2" t="inlineStr">
        <is>
          <t>customers that left or downgraded</t>
        </is>
      </c>
    </row>
    <row r="9">
      <c r="B9" s="6" t="inlineStr">
        <is>
          <t>Plus expansion ARR</t>
        </is>
      </c>
      <c r="D9" s="7" t="n">
        <v>6</v>
      </c>
      <c r="F9" s="2" t="inlineStr">
        <is>
          <t>existing customers buying more</t>
        </is>
      </c>
    </row>
    <row r="10">
      <c r="B10" s="6" t="inlineStr">
        <is>
          <t>Plus new logo ARR</t>
        </is>
      </c>
      <c r="D10" s="7" t="n">
        <v>18</v>
      </c>
      <c r="F10" s="2" t="inlineStr">
        <is>
          <t>brand-new customers</t>
        </is>
      </c>
    </row>
    <row r="11">
      <c r="B11" s="8" t="inlineStr">
        <is>
          <t>Ending ARR (today)</t>
        </is>
      </c>
      <c r="D11" s="9">
        <f>SUM(D7:D10)</f>
        <v/>
      </c>
      <c r="F11" s="2" t="inlineStr">
        <is>
          <t>40.0 minus 4.0 plus 6.0 plus 18.0</t>
        </is>
      </c>
    </row>
    <row r="12">
      <c r="B12" s="6" t="inlineStr">
        <is>
          <t>Net new ARR</t>
        </is>
      </c>
      <c r="D12" s="10">
        <f>D11-D7</f>
        <v/>
      </c>
      <c r="F12" s="2" t="inlineStr">
        <is>
          <t>60.0 minus 40.0</t>
        </is>
      </c>
    </row>
    <row r="13">
      <c r="B13" s="6" t="inlineStr">
        <is>
          <t>Gross new ARR (new plus expansion)</t>
        </is>
      </c>
      <c r="D13" s="10">
        <f>D10+D9</f>
        <v/>
      </c>
      <c r="F13" s="2" t="inlineStr">
        <is>
          <t>18.0 plus 6.0</t>
        </is>
      </c>
    </row>
    <row r="15">
      <c r="B15" s="3" t="inlineStr">
        <is>
          <t>GROWTH AND RETENTION FROM THE BRIDGE</t>
        </is>
      </c>
      <c r="C15" s="3" t="n"/>
      <c r="D15" s="3" t="n"/>
      <c r="E15" s="3" t="n"/>
      <c r="F15" s="3" t="n"/>
    </row>
    <row r="16">
      <c r="B16" s="4" t="inlineStr">
        <is>
          <t>Metric</t>
        </is>
      </c>
      <c r="D16" s="5" t="inlineStr">
        <is>
          <t>Value</t>
        </is>
      </c>
      <c r="F16" s="4" t="inlineStr">
        <is>
          <t>Arithmetic</t>
        </is>
      </c>
    </row>
    <row r="17">
      <c r="B17" s="6" t="inlineStr">
        <is>
          <t>ARR growth</t>
        </is>
      </c>
      <c r="D17" s="11">
        <f>D11/D7-1</f>
        <v/>
      </c>
      <c r="F17" s="2" t="inlineStr">
        <is>
          <t>60.0 divided by 40.0, minus 1</t>
        </is>
      </c>
    </row>
    <row r="18">
      <c r="B18" s="6" t="inlineStr">
        <is>
          <t>Gross revenue retention</t>
        </is>
      </c>
      <c r="D18" s="11">
        <f>(D7+D8)/D7</f>
        <v/>
      </c>
      <c r="F18" s="2" t="inlineStr">
        <is>
          <t>(40.0 minus 4.0) divided by 40.0</t>
        </is>
      </c>
    </row>
    <row r="19">
      <c r="B19" s="6" t="inlineStr">
        <is>
          <t>Net revenue retention</t>
        </is>
      </c>
      <c r="D19" s="11">
        <f>(D7+D8+D9)/D7</f>
        <v/>
      </c>
      <c r="F19" s="2" t="inlineStr">
        <is>
          <t>(40.0 minus 4.0 plus 6.0) divided by 40.0</t>
        </is>
      </c>
    </row>
    <row r="21">
      <c r="B21" s="3" t="inlineStr">
        <is>
          <t>COST INPUTS</t>
        </is>
      </c>
      <c r="C21" s="3" t="n"/>
      <c r="D21" s="3" t="n"/>
      <c r="E21" s="3" t="n"/>
      <c r="F21" s="3" t="n"/>
    </row>
    <row r="22">
      <c r="B22" s="4" t="inlineStr">
        <is>
          <t>Input</t>
        </is>
      </c>
      <c r="D22" s="5" t="inlineStr">
        <is>
          <t>Value</t>
        </is>
      </c>
      <c r="F22" s="4" t="inlineStr">
        <is>
          <t>Note</t>
        </is>
      </c>
    </row>
    <row r="23">
      <c r="B23" s="6" t="inlineStr">
        <is>
          <t>Revenue this year</t>
        </is>
      </c>
      <c r="D23" s="7" t="n">
        <v>50</v>
      </c>
      <c r="F23" s="2" t="inlineStr">
        <is>
          <t>ARR ramped from 40.0 to 60.0 during the year</t>
        </is>
      </c>
    </row>
    <row r="24">
      <c r="B24" s="6" t="inlineStr">
        <is>
          <t>Gross margin</t>
        </is>
      </c>
      <c r="D24" s="12" t="n">
        <v>0.76</v>
      </c>
      <c r="F24" s="2" t="inlineStr">
        <is>
          <t>after hosting, support and implementation</t>
        </is>
      </c>
    </row>
    <row r="25">
      <c r="B25" s="6" t="inlineStr">
        <is>
          <t>Gross profit</t>
        </is>
      </c>
      <c r="D25" s="10">
        <f>D23*D24</f>
        <v/>
      </c>
      <c r="F25" s="2" t="inlineStr">
        <is>
          <t>50.0 times 76%</t>
        </is>
      </c>
    </row>
    <row r="26">
      <c r="B26" s="6" t="inlineStr">
        <is>
          <t>Sales and marketing spend</t>
        </is>
      </c>
      <c r="D26" s="7" t="n">
        <v>20</v>
      </c>
    </row>
    <row r="27">
      <c r="B27" s="6" t="inlineStr">
        <is>
          <t>Net burn (cash out minus cash in)</t>
        </is>
      </c>
      <c r="D27" s="7" t="n">
        <v>5</v>
      </c>
    </row>
    <row r="28">
      <c r="B28" s="6" t="inlineStr">
        <is>
          <t>ARR per customer ($)</t>
        </is>
      </c>
      <c r="D28" s="13" t="n">
        <v>60000</v>
      </c>
    </row>
    <row r="29">
      <c r="B29" s="6" t="inlineStr">
        <is>
          <t>Customers today</t>
        </is>
      </c>
      <c r="D29" s="14">
        <f>D11*1000000/D28</f>
        <v/>
      </c>
      <c r="F29" s="2" t="inlineStr">
        <is>
          <t>ending ARR divided by ARR per customer</t>
        </is>
      </c>
    </row>
    <row r="30">
      <c r="B30" s="6" t="inlineStr">
        <is>
          <t>New customers signed this year</t>
        </is>
      </c>
      <c r="D30" s="14">
        <f>D10*1000000/D28</f>
        <v/>
      </c>
      <c r="F30" s="2" t="inlineStr">
        <is>
          <t>new logo ARR divided by ARR per customer</t>
        </is>
      </c>
    </row>
    <row r="32">
      <c r="B32" s="3" t="inlineStr">
        <is>
          <t>UNIT ECONOMICS</t>
        </is>
      </c>
      <c r="C32" s="3" t="n"/>
      <c r="D32" s="3" t="n"/>
      <c r="E32" s="3" t="n"/>
      <c r="F32" s="3" t="n"/>
    </row>
    <row r="33">
      <c r="B33" s="4" t="inlineStr">
        <is>
          <t>Metric</t>
        </is>
      </c>
      <c r="D33" s="5" t="inlineStr">
        <is>
          <t>Value</t>
        </is>
      </c>
      <c r="F33" s="4" t="inlineStr">
        <is>
          <t>Arithmetic</t>
        </is>
      </c>
    </row>
    <row r="34">
      <c r="B34" s="6" t="inlineStr">
        <is>
          <t>CAC (cost to win one customer, $)</t>
        </is>
      </c>
      <c r="D34" s="15">
        <f>D26*1000000/D30</f>
        <v/>
      </c>
      <c r="F34" s="2" t="inlineStr">
        <is>
          <t>$20.0M divided by 300 new customers</t>
        </is>
      </c>
    </row>
    <row r="35">
      <c r="B35" s="6" t="inlineStr">
        <is>
          <t>CAC payback</t>
        </is>
      </c>
      <c r="D35" s="16">
        <f>D26/(D13*D24)*12</f>
        <v/>
      </c>
      <c r="F35" s="2" t="inlineStr">
        <is>
          <t>$20.0M divided by ($24.0M times 76%), times 12</t>
        </is>
      </c>
    </row>
    <row r="36">
      <c r="B36" s="6" t="inlineStr">
        <is>
          <t>LTV (lifetime gross profit per customer, $)</t>
        </is>
      </c>
      <c r="D36" s="15">
        <f>D28*D24/(-D8/D7)</f>
        <v/>
      </c>
      <c r="F36" s="2" t="inlineStr">
        <is>
          <t>$60,000 times 76%, divided by 10% churn</t>
        </is>
      </c>
    </row>
    <row r="37">
      <c r="B37" s="6" t="inlineStr">
        <is>
          <t>LTV to CAC</t>
        </is>
      </c>
      <c r="D37" s="17">
        <f>D36/D34</f>
        <v/>
      </c>
      <c r="F37" s="2" t="inlineStr">
        <is>
          <t>$456,000 divided by $66,667</t>
        </is>
      </c>
    </row>
    <row r="38">
      <c r="B38" s="6" t="inlineStr">
        <is>
          <t>Magic number</t>
        </is>
      </c>
      <c r="D38" s="18">
        <f>D12/D26</f>
        <v/>
      </c>
      <c r="F38" s="2" t="inlineStr">
        <is>
          <t>$20.0M net new ARR divided by $20.0M S&amp;M</t>
        </is>
      </c>
    </row>
    <row r="39">
      <c r="B39" s="6" t="inlineStr">
        <is>
          <t>Burn multiple</t>
        </is>
      </c>
      <c r="D39" s="18">
        <f>D27/D12</f>
        <v/>
      </c>
      <c r="F39" s="2" t="inlineStr">
        <is>
          <t>$5.0M net burn divided by $20.0M net new ARR</t>
        </is>
      </c>
    </row>
    <row r="40">
      <c r="B40" s="6" t="inlineStr">
        <is>
          <t>Free cash flow margin</t>
        </is>
      </c>
      <c r="D40" s="11">
        <f>-D27/D23</f>
        <v/>
      </c>
      <c r="F40" s="2" t="inlineStr">
        <is>
          <t>negative $5.0M divided by $50.0M</t>
        </is>
      </c>
    </row>
    <row r="41">
      <c r="B41" s="6" t="inlineStr">
        <is>
          <t>Rule of 40 score</t>
        </is>
      </c>
      <c r="D41" s="19">
        <f>(D17+D40)*100</f>
        <v/>
      </c>
      <c r="F41" s="2" t="inlineStr">
        <is>
          <t>50.0% growth plus (10.0%) margin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2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0" customWidth="1" min="2" max="2"/>
    <col width="2" customWidth="1" min="3" max="3"/>
    <col width="15" customWidth="1" min="4" max="4"/>
    <col width="11" customWidth="1" min="5" max="5"/>
    <col width="15" customWidth="1" min="6" max="6"/>
    <col width="11" customWidth="1" min="7" max="7"/>
  </cols>
  <sheetData>
    <row r="2">
      <c r="B2" s="1" t="inlineStr">
        <is>
          <t>Harborline Series C: the round and the cap table</t>
        </is>
      </c>
    </row>
    <row r="3">
      <c r="B3" s="2" t="inlineStr">
        <is>
          <t>$ millions unless a line says otherwise. Green = pulled from the Metrics sheet.</t>
        </is>
      </c>
    </row>
    <row r="5">
      <c r="B5" s="3" t="inlineStr">
        <is>
          <t>THE ROUND</t>
        </is>
      </c>
      <c r="C5" s="3" t="n"/>
      <c r="D5" s="3" t="n"/>
      <c r="E5" s="3" t="n"/>
      <c r="F5" s="3" t="n"/>
      <c r="G5" s="3" t="n"/>
    </row>
    <row r="6">
      <c r="B6" s="6" t="inlineStr">
        <is>
          <t>New money in</t>
        </is>
      </c>
      <c r="D6" s="7" t="n">
        <v>100</v>
      </c>
    </row>
    <row r="7">
      <c r="B7" s="6" t="inlineStr">
        <is>
          <t>Post-money valuation</t>
        </is>
      </c>
      <c r="D7" s="7" t="n">
        <v>600</v>
      </c>
    </row>
    <row r="8">
      <c r="B8" s="6" t="inlineStr">
        <is>
          <t>Pre-money valuation</t>
        </is>
      </c>
      <c r="D8" s="10">
        <f>D7-D6</f>
        <v/>
      </c>
    </row>
    <row r="9">
      <c r="B9" s="6" t="inlineStr">
        <is>
          <t>Ownership bought</t>
        </is>
      </c>
      <c r="D9" s="20">
        <f>D6/D7</f>
        <v/>
      </c>
    </row>
    <row r="10">
      <c r="B10" s="6" t="inlineStr">
        <is>
          <t>Ending ARR (Metrics sheet)</t>
        </is>
      </c>
      <c r="D10" s="21">
        <f>Metrics!D11</f>
        <v/>
      </c>
    </row>
    <row r="11">
      <c r="B11" s="6" t="inlineStr">
        <is>
          <t>Entry EV to ARR</t>
        </is>
      </c>
      <c r="D11" s="17">
        <f>D7/D10</f>
        <v/>
      </c>
    </row>
    <row r="12">
      <c r="B12" s="6" t="inlineStr">
        <is>
          <t>Shares before the round</t>
        </is>
      </c>
      <c r="D12" s="14">
        <f>D23</f>
        <v/>
      </c>
    </row>
    <row r="13">
      <c r="B13" s="6" t="inlineStr">
        <is>
          <t>Price per share ($)</t>
        </is>
      </c>
      <c r="D13" s="22">
        <f>D8*1000000/D12</f>
        <v/>
      </c>
    </row>
    <row r="14">
      <c r="B14" s="6" t="inlineStr">
        <is>
          <t>New shares issued</t>
        </is>
      </c>
      <c r="D14" s="14">
        <f>D6*1000000/D13</f>
        <v/>
      </c>
    </row>
    <row r="15">
      <c r="B15" s="8" t="inlineStr">
        <is>
          <t>Shares after the round</t>
        </is>
      </c>
      <c r="D15" s="23">
        <f>D12+D14</f>
        <v/>
      </c>
    </row>
    <row r="17">
      <c r="B17" s="3" t="inlineStr">
        <is>
          <t>CAP TABLE BEFORE AND AFTER (fully diluted, option pool included)</t>
        </is>
      </c>
      <c r="C17" s="3" t="n"/>
      <c r="D17" s="3" t="n"/>
      <c r="E17" s="3" t="n"/>
      <c r="F17" s="3" t="n"/>
      <c r="G17" s="3" t="n"/>
    </row>
    <row r="18">
      <c r="B18" s="4" t="inlineStr">
        <is>
          <t>Holder</t>
        </is>
      </c>
      <c r="D18" s="5" t="inlineStr">
        <is>
          <t>Shares before</t>
        </is>
      </c>
      <c r="E18" s="5" t="inlineStr">
        <is>
          <t>% before</t>
        </is>
      </c>
      <c r="F18" s="5" t="inlineStr">
        <is>
          <t>Shares after</t>
        </is>
      </c>
      <c r="G18" s="5" t="inlineStr">
        <is>
          <t>% after</t>
        </is>
      </c>
    </row>
    <row r="19">
      <c r="B19" s="6" t="inlineStr">
        <is>
          <t>Founders</t>
        </is>
      </c>
      <c r="D19" s="24" t="n">
        <v>30000000</v>
      </c>
      <c r="E19" s="25">
        <f>D19/D$23</f>
        <v/>
      </c>
      <c r="F19" s="14">
        <f>D19</f>
        <v/>
      </c>
      <c r="G19" s="26">
        <f>F19/F$23</f>
        <v/>
      </c>
    </row>
    <row r="20">
      <c r="B20" s="6" t="inlineStr">
        <is>
          <t>Earlier venture investors</t>
        </is>
      </c>
      <c r="D20" s="24" t="n">
        <v>15000000</v>
      </c>
      <c r="E20" s="25">
        <f>D20/D$23</f>
        <v/>
      </c>
      <c r="F20" s="14">
        <f>D20</f>
        <v/>
      </c>
      <c r="G20" s="26">
        <f>F20/F$23</f>
        <v/>
      </c>
    </row>
    <row r="21">
      <c r="B21" s="6" t="inlineStr">
        <is>
          <t>Employee option pool</t>
        </is>
      </c>
      <c r="D21" s="24" t="n">
        <v>5000000</v>
      </c>
      <c r="E21" s="25">
        <f>D21/D$23</f>
        <v/>
      </c>
      <c r="F21" s="14">
        <f>D21</f>
        <v/>
      </c>
      <c r="G21" s="26">
        <f>F21/F$23</f>
        <v/>
      </c>
    </row>
    <row r="22">
      <c r="B22" s="6" t="inlineStr">
        <is>
          <t>New growth investor (Series C preferred)</t>
        </is>
      </c>
      <c r="D22" s="24" t="n">
        <v>0</v>
      </c>
      <c r="E22" s="25">
        <f>D22/D$23</f>
        <v/>
      </c>
      <c r="F22" s="14">
        <f>D14</f>
        <v/>
      </c>
      <c r="G22" s="26">
        <f>F22/F$23</f>
        <v/>
      </c>
    </row>
    <row r="23">
      <c r="B23" s="8" t="inlineStr">
        <is>
          <t>Total</t>
        </is>
      </c>
      <c r="D23" s="23">
        <f>SUM(D19:D22)</f>
        <v/>
      </c>
      <c r="E23" s="27">
        <f>D23/D$23</f>
        <v/>
      </c>
      <c r="F23" s="23">
        <f>SUM(F19:F22)</f>
        <v/>
      </c>
      <c r="G23" s="28">
        <f>F23/F$23</f>
        <v/>
      </c>
    </row>
    <row r="24">
      <c r="B24" s="2" t="inlineStr">
        <is>
          <t>Founders after, the shortcut: 60.0% times pre over post</t>
        </is>
      </c>
      <c r="G24" s="29">
        <f>E19*D8/D7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5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2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  <col width="14" customWidth="1" min="9" max="9"/>
    <col width="2" customWidth="1" min="10" max="10"/>
  </cols>
  <sheetData>
    <row r="2">
      <c r="B2" s="1" t="inlineStr">
        <is>
          <t>Harborline screen: three exits, the preference, MOIC and IRR</t>
        </is>
      </c>
    </row>
    <row r="3">
      <c r="B3" s="2" t="inlineStr">
        <is>
          <t>$ millions. Five-year hold, one check in and one check out; equity value equals EV at exit (no debt or cash).</t>
        </is>
      </c>
    </row>
    <row r="5">
      <c r="B5" s="3" t="inlineStr">
        <is>
          <t>DEAL INPUTS</t>
        </is>
      </c>
      <c r="C5" s="3" t="n"/>
      <c r="D5" s="3" t="n"/>
      <c r="E5" s="3" t="n"/>
      <c r="F5" s="3" t="n"/>
      <c r="G5" s="3" t="n"/>
      <c r="H5" s="3" t="n"/>
      <c r="I5" s="3" t="n"/>
    </row>
    <row r="6">
      <c r="B6" s="6" t="inlineStr">
        <is>
          <t>Investment (Deal sheet)</t>
        </is>
      </c>
      <c r="D6" s="21">
        <f>Deal!D6</f>
        <v/>
      </c>
    </row>
    <row r="7">
      <c r="B7" s="6" t="inlineStr">
        <is>
          <t>Ownership (Deal sheet)</t>
        </is>
      </c>
      <c r="D7" s="30">
        <f>Deal!D9</f>
        <v/>
      </c>
    </row>
    <row r="8">
      <c r="B8" s="6" t="inlineStr">
        <is>
          <t>ARR today (Metrics sheet)</t>
        </is>
      </c>
      <c r="D8" s="21">
        <f>Metrics!D11</f>
        <v/>
      </c>
    </row>
    <row r="9">
      <c r="B9" s="6" t="inlineStr">
        <is>
          <t>Liquidation preference (x invested)</t>
        </is>
      </c>
      <c r="D9" s="31" t="n">
        <v>1</v>
      </c>
    </row>
    <row r="10">
      <c r="B10" s="6" t="inlineStr">
        <is>
          <t>Preference amount</t>
        </is>
      </c>
      <c r="D10" s="10">
        <f>D6*D9</f>
        <v/>
      </c>
    </row>
    <row r="11">
      <c r="B11" s="6" t="inlineStr">
        <is>
          <t>Hold (years)</t>
        </is>
      </c>
      <c r="D11" s="32" t="n">
        <v>5</v>
      </c>
    </row>
    <row r="13">
      <c r="B13" s="3" t="inlineStr">
        <is>
          <t>STEP 3: THREE EXITS, FIVE YEARS OUT</t>
        </is>
      </c>
      <c r="C13" s="3" t="n"/>
      <c r="D13" s="3" t="n"/>
      <c r="E13" s="3" t="n"/>
      <c r="F13" s="3" t="n"/>
      <c r="G13" s="3" t="n"/>
      <c r="H13" s="3" t="n"/>
      <c r="I13" s="3" t="n"/>
    </row>
    <row r="14" ht="27" customHeight="1">
      <c r="B14" s="4" t="inlineStr">
        <is>
          <t>Scenario</t>
        </is>
      </c>
      <c r="D14" s="5" t="inlineStr">
        <is>
          <t>ARR in year 5</t>
        </is>
      </c>
      <c r="E14" s="5" t="inlineStr">
        <is>
          <t>ARR CAGR from today</t>
        </is>
      </c>
      <c r="F14" s="5" t="inlineStr">
        <is>
          <t>Exit EV to ARR</t>
        </is>
      </c>
      <c r="G14" s="5" t="inlineStr">
        <is>
          <t>Equity value at exit</t>
        </is>
      </c>
      <c r="H14" s="5" t="inlineStr">
        <is>
          <t>Our stake as common</t>
        </is>
      </c>
    </row>
    <row r="15">
      <c r="B15" s="6" t="inlineStr">
        <is>
          <t>Bear</t>
        </is>
      </c>
      <c r="D15" s="7" t="n">
        <v>90</v>
      </c>
      <c r="E15" s="11">
        <f>(D15/$D$8)^(1/$D$11)-1</f>
        <v/>
      </c>
      <c r="F15" s="31" t="n">
        <v>3</v>
      </c>
      <c r="G15" s="10">
        <f>D15*F15</f>
        <v/>
      </c>
      <c r="H15" s="10">
        <f>G15*$D$7</f>
        <v/>
      </c>
    </row>
    <row r="16">
      <c r="B16" s="6" t="inlineStr">
        <is>
          <t>Base</t>
        </is>
      </c>
      <c r="D16" s="7" t="n">
        <v>240</v>
      </c>
      <c r="E16" s="11">
        <f>(D16/$D$8)^(1/$D$11)-1</f>
        <v/>
      </c>
      <c r="F16" s="31" t="n">
        <v>7</v>
      </c>
      <c r="G16" s="10">
        <f>D16*F16</f>
        <v/>
      </c>
      <c r="H16" s="10">
        <f>G16*$D$7</f>
        <v/>
      </c>
    </row>
    <row r="17">
      <c r="B17" s="6" t="inlineStr">
        <is>
          <t>Bull</t>
        </is>
      </c>
      <c r="D17" s="7" t="n">
        <v>360</v>
      </c>
      <c r="E17" s="11">
        <f>(D17/$D$8)^(1/$D$11)-1</f>
        <v/>
      </c>
      <c r="F17" s="31" t="n">
        <v>9</v>
      </c>
      <c r="G17" s="10">
        <f>D17*F17</f>
        <v/>
      </c>
      <c r="H17" s="10">
        <f>G17*$D$7</f>
        <v/>
      </c>
    </row>
    <row r="19">
      <c r="B19" s="3" t="inlineStr">
        <is>
          <t>STEP 4: WHAT THE PREFERRED GETS</t>
        </is>
      </c>
      <c r="C19" s="3" t="n"/>
      <c r="D19" s="3" t="n"/>
      <c r="E19" s="3" t="n"/>
      <c r="F19" s="3" t="n"/>
      <c r="G19" s="3" t="n"/>
      <c r="H19" s="3" t="n"/>
      <c r="I19" s="3" t="n"/>
    </row>
    <row r="20" ht="40" customHeight="1">
      <c r="B20" s="4" t="inlineStr">
        <is>
          <t>Scenario</t>
        </is>
      </c>
      <c r="D20" s="5" t="inlineStr">
        <is>
          <t>Equity value</t>
        </is>
      </c>
      <c r="E20" s="5" t="inlineStr">
        <is>
          <t>As common (no preference)</t>
        </is>
      </c>
      <c r="F20" s="5" t="inlineStr">
        <is>
          <t>1x preference amount</t>
        </is>
      </c>
      <c r="G20" s="5" t="inlineStr">
        <is>
          <t>1x non-participating payout</t>
        </is>
      </c>
      <c r="H20" s="5" t="inlineStr">
        <is>
          <t>Which the investor picks</t>
        </is>
      </c>
      <c r="I20" s="5" t="inlineStr">
        <is>
          <t>1x participating payout</t>
        </is>
      </c>
    </row>
    <row r="21">
      <c r="B21" s="6" t="inlineStr">
        <is>
          <t>Bear</t>
        </is>
      </c>
      <c r="D21" s="10">
        <f>G15</f>
        <v/>
      </c>
      <c r="E21" s="10">
        <f>D21*$D$7</f>
        <v/>
      </c>
      <c r="F21" s="10">
        <f>$D$10</f>
        <v/>
      </c>
      <c r="G21" s="10">
        <f>MIN(D21,MAX(F21,E21))</f>
        <v/>
      </c>
      <c r="H21" s="33">
        <f>IF(F21&gt;E21,"preference","convert to common")</f>
        <v/>
      </c>
      <c r="I21" s="10">
        <f>MIN(F21,D21)+MAX(D21-F21,0)*$D$7</f>
        <v/>
      </c>
    </row>
    <row r="22">
      <c r="B22" s="6" t="inlineStr">
        <is>
          <t>Base</t>
        </is>
      </c>
      <c r="D22" s="10">
        <f>G16</f>
        <v/>
      </c>
      <c r="E22" s="10">
        <f>D22*$D$7</f>
        <v/>
      </c>
      <c r="F22" s="10">
        <f>$D$10</f>
        <v/>
      </c>
      <c r="G22" s="10">
        <f>MIN(D22,MAX(F22,E22))</f>
        <v/>
      </c>
      <c r="H22" s="33">
        <f>IF(F22&gt;E22,"preference","convert to common")</f>
        <v/>
      </c>
      <c r="I22" s="10">
        <f>MIN(F22,D22)+MAX(D22-F22,0)*$D$7</f>
        <v/>
      </c>
    </row>
    <row r="23">
      <c r="B23" s="6" t="inlineStr">
        <is>
          <t>Bull</t>
        </is>
      </c>
      <c r="D23" s="10">
        <f>G17</f>
        <v/>
      </c>
      <c r="E23" s="10">
        <f>D23*$D$7</f>
        <v/>
      </c>
      <c r="F23" s="10">
        <f>$D$10</f>
        <v/>
      </c>
      <c r="G23" s="10">
        <f>MIN(D23,MAX(F23,E23))</f>
        <v/>
      </c>
      <c r="H23" s="33">
        <f>IF(F23&gt;E23,"preference","convert to common")</f>
        <v/>
      </c>
      <c r="I23" s="10">
        <f>MIN(F23,D23)+MAX(D23-F23,0)*$D$7</f>
        <v/>
      </c>
    </row>
    <row r="25">
      <c r="B25" s="3" t="inlineStr">
        <is>
          <t>STEP 5: MOIC AND IRR ON THE $100.0 MILLION</t>
        </is>
      </c>
      <c r="C25" s="3" t="n"/>
      <c r="D25" s="3" t="n"/>
      <c r="E25" s="3" t="n"/>
      <c r="F25" s="3" t="n"/>
      <c r="G25" s="3" t="n"/>
      <c r="H25" s="3" t="n"/>
      <c r="I25" s="3" t="n"/>
    </row>
    <row r="26" ht="27" customHeight="1">
      <c r="B26" s="4" t="inlineStr">
        <is>
          <t>Scenario</t>
        </is>
      </c>
      <c r="D26" s="5" t="inlineStr">
        <is>
          <t>MOIC as common</t>
        </is>
      </c>
      <c r="E26" s="5" t="inlineStr">
        <is>
          <t>IRR as common</t>
        </is>
      </c>
      <c r="F26" s="5" t="inlineStr">
        <is>
          <t>MOIC, 1x non-part.</t>
        </is>
      </c>
      <c r="G26" s="5" t="inlineStr">
        <is>
          <t>IRR, 1x non-part.</t>
        </is>
      </c>
      <c r="H26" s="5" t="inlineStr">
        <is>
          <t>MOIC, 1x participating</t>
        </is>
      </c>
      <c r="I26" s="5" t="inlineStr">
        <is>
          <t>IRR, 1x participating</t>
        </is>
      </c>
    </row>
    <row r="27">
      <c r="B27" s="6" t="inlineStr">
        <is>
          <t>Bear</t>
        </is>
      </c>
      <c r="D27" s="18">
        <f>E21/$D$6</f>
        <v/>
      </c>
      <c r="E27" s="11">
        <f>D27^(1/$D$11)-1</f>
        <v/>
      </c>
      <c r="F27" s="18">
        <f>G21/$D$6</f>
        <v/>
      </c>
      <c r="G27" s="11">
        <f>F27^(1/$D$11)-1</f>
        <v/>
      </c>
      <c r="H27" s="18">
        <f>I21/$D$6</f>
        <v/>
      </c>
      <c r="I27" s="11">
        <f>H27^(1/$D$11)-1</f>
        <v/>
      </c>
    </row>
    <row r="28">
      <c r="B28" s="6" t="inlineStr">
        <is>
          <t>Base</t>
        </is>
      </c>
      <c r="D28" s="18">
        <f>E22/$D$6</f>
        <v/>
      </c>
      <c r="E28" s="11">
        <f>D28^(1/$D$11)-1</f>
        <v/>
      </c>
      <c r="F28" s="18">
        <f>G22/$D$6</f>
        <v/>
      </c>
      <c r="G28" s="11">
        <f>F28^(1/$D$11)-1</f>
        <v/>
      </c>
      <c r="H28" s="18">
        <f>I22/$D$6</f>
        <v/>
      </c>
      <c r="I28" s="11">
        <f>H28^(1/$D$11)-1</f>
        <v/>
      </c>
    </row>
    <row r="29">
      <c r="B29" s="6" t="inlineStr">
        <is>
          <t>Bull</t>
        </is>
      </c>
      <c r="D29" s="18">
        <f>E23/$D$6</f>
        <v/>
      </c>
      <c r="E29" s="11">
        <f>D29^(1/$D$11)-1</f>
        <v/>
      </c>
      <c r="F29" s="18">
        <f>G23/$D$6</f>
        <v/>
      </c>
      <c r="G29" s="11">
        <f>F29^(1/$D$11)-1</f>
        <v/>
      </c>
      <c r="H29" s="18">
        <f>I23/$D$6</f>
        <v/>
      </c>
      <c r="I29" s="11">
        <f>H29^(1/$D$11)-1</f>
        <v/>
      </c>
    </row>
    <row r="31">
      <c r="B31" s="3" t="inlineStr">
        <is>
          <t>WHO GETS WHAT (1x non-participating)</t>
        </is>
      </c>
      <c r="C31" s="3" t="n"/>
      <c r="D31" s="3" t="n"/>
      <c r="E31" s="3" t="n"/>
      <c r="F31" s="3" t="n"/>
      <c r="G31" s="3" t="n"/>
      <c r="H31" s="3" t="n"/>
      <c r="I31" s="3" t="n"/>
    </row>
    <row r="32" ht="40" customHeight="1">
      <c r="B32" s="4" t="inlineStr">
        <is>
          <t>Scenario</t>
        </is>
      </c>
      <c r="D32" s="5" t="inlineStr">
        <is>
          <t>Equity value</t>
        </is>
      </c>
      <c r="E32" s="5" t="inlineStr">
        <is>
          <t>To preferred</t>
        </is>
      </c>
      <c r="F32" s="5" t="inlineStr">
        <is>
          <t>To founders, VCs and employees</t>
        </is>
      </c>
      <c r="G32" s="5" t="inlineStr">
        <is>
          <t>Their share</t>
        </is>
      </c>
    </row>
    <row r="33">
      <c r="B33" s="6" t="inlineStr">
        <is>
          <t>Bear</t>
        </is>
      </c>
      <c r="D33" s="10">
        <f>D21</f>
        <v/>
      </c>
      <c r="E33" s="10">
        <f>G21</f>
        <v/>
      </c>
      <c r="F33" s="10">
        <f>D33-E33</f>
        <v/>
      </c>
      <c r="G33" s="11">
        <f>F33/D33</f>
        <v/>
      </c>
    </row>
    <row r="34">
      <c r="B34" s="6" t="inlineStr">
        <is>
          <t>Base</t>
        </is>
      </c>
      <c r="D34" s="10">
        <f>D22</f>
        <v/>
      </c>
      <c r="E34" s="10">
        <f>G22</f>
        <v/>
      </c>
      <c r="F34" s="10">
        <f>D34-E34</f>
        <v/>
      </c>
      <c r="G34" s="11">
        <f>F34/D34</f>
        <v/>
      </c>
    </row>
    <row r="35">
      <c r="B35" s="6" t="inlineStr">
        <is>
          <t>Bull</t>
        </is>
      </c>
      <c r="D35" s="10">
        <f>D23</f>
        <v/>
      </c>
      <c r="E35" s="10">
        <f>G23</f>
        <v/>
      </c>
      <c r="F35" s="10">
        <f>D35-E35</f>
        <v/>
      </c>
      <c r="G35" s="11">
        <f>F35/D35</f>
        <v/>
      </c>
    </row>
    <row r="37">
      <c r="B37" s="3" t="inlineStr">
        <is>
          <t>STEP 6: THE PRICE CHECK, SAME CHECK AT A $500.0 MILLION POST</t>
        </is>
      </c>
      <c r="C37" s="3" t="n"/>
      <c r="D37" s="3" t="n"/>
      <c r="E37" s="3" t="n"/>
      <c r="F37" s="3" t="n"/>
      <c r="G37" s="3" t="n"/>
      <c r="H37" s="3" t="n"/>
      <c r="I37" s="3" t="n"/>
    </row>
    <row r="38" ht="27" customHeight="1">
      <c r="B38" s="4" t="inlineStr">
        <is>
          <t>Item</t>
        </is>
      </c>
      <c r="D38" s="5" t="inlineStr">
        <is>
          <t>At $600.0M post</t>
        </is>
      </c>
      <c r="E38" s="5" t="inlineStr">
        <is>
          <t>At $500.0M post</t>
        </is>
      </c>
    </row>
    <row r="39">
      <c r="B39" s="6" t="inlineStr">
        <is>
          <t>Post-money valuation</t>
        </is>
      </c>
      <c r="D39" s="21">
        <f>Deal!D7</f>
        <v/>
      </c>
      <c r="E39" s="7" t="n">
        <v>500</v>
      </c>
    </row>
    <row r="40">
      <c r="B40" s="6" t="inlineStr">
        <is>
          <t>Ownership</t>
        </is>
      </c>
      <c r="D40" s="20">
        <f>$D$6/D39</f>
        <v/>
      </c>
      <c r="E40" s="20">
        <f>$D$6/E39</f>
        <v/>
      </c>
    </row>
    <row r="41">
      <c r="B41" s="6" t="inlineStr">
        <is>
          <t>Base case payout (converts)</t>
        </is>
      </c>
      <c r="D41" s="10">
        <f>MAX($D$10,$G$16*D40)</f>
        <v/>
      </c>
      <c r="E41" s="10">
        <f>MAX($D$10,$G$16*E40)</f>
        <v/>
      </c>
    </row>
    <row r="42">
      <c r="B42" s="6" t="inlineStr">
        <is>
          <t>Base case MOIC</t>
        </is>
      </c>
      <c r="D42" s="18">
        <f>D41/$D$6</f>
        <v/>
      </c>
      <c r="E42" s="18">
        <f>E41/$D$6</f>
        <v/>
      </c>
    </row>
    <row r="43">
      <c r="B43" s="6" t="inlineStr">
        <is>
          <t>Base case IRR</t>
        </is>
      </c>
      <c r="D43" s="11">
        <f>D42^(1/$D$11)-1</f>
        <v/>
      </c>
      <c r="E43" s="11">
        <f>E42^(1/$D$11)-1</f>
        <v/>
      </c>
    </row>
    <row r="45">
      <c r="B45" s="3" t="inlineStr">
        <is>
          <t>THE PREFERENCE IN FORMULAS (Bear row of step 4)</t>
        </is>
      </c>
      <c r="C45" s="3" t="n"/>
      <c r="D45" s="3" t="n"/>
      <c r="E45" s="3" t="n"/>
      <c r="F45" s="3" t="n"/>
      <c r="G45" s="3" t="n"/>
      <c r="H45" s="3" t="n"/>
      <c r="I45" s="3" t="n"/>
    </row>
    <row r="46">
      <c r="B46" s="34" t="inlineStr">
        <is>
          <t>Column</t>
        </is>
      </c>
      <c r="D46" s="35" t="inlineStr">
        <is>
          <t>Bear value</t>
        </is>
      </c>
      <c r="E46" s="34" t="inlineStr">
        <is>
          <t>Formula in the cell</t>
        </is>
      </c>
    </row>
    <row r="47">
      <c r="B47" s="6" t="inlineStr">
        <is>
          <t>As common (no preference)</t>
        </is>
      </c>
      <c r="D47" s="36">
        <f>E21</f>
        <v/>
      </c>
      <c r="E47" s="2" t="inlineStr">
        <is>
          <t xml:space="preserve"> E21:  =D21*$D$7</t>
        </is>
      </c>
    </row>
    <row r="48">
      <c r="B48" s="6" t="inlineStr">
        <is>
          <t>1x preference amount</t>
        </is>
      </c>
      <c r="D48" s="36">
        <f>F21</f>
        <v/>
      </c>
      <c r="E48" s="2" t="inlineStr">
        <is>
          <t xml:space="preserve"> F21:  =$D$10</t>
        </is>
      </c>
    </row>
    <row r="49">
      <c r="B49" s="6" t="inlineStr">
        <is>
          <t>1x non-participating payout</t>
        </is>
      </c>
      <c r="D49" s="36">
        <f>G21</f>
        <v/>
      </c>
      <c r="E49" s="2" t="inlineStr">
        <is>
          <t xml:space="preserve"> G21:  =MIN(D21,MAX(F21,E21))</t>
        </is>
      </c>
    </row>
    <row r="50">
      <c r="B50" s="6" t="inlineStr">
        <is>
          <t>Which the investor picks</t>
        </is>
      </c>
      <c r="D50" s="33">
        <f>H21</f>
        <v/>
      </c>
      <c r="E50" s="2" t="inlineStr">
        <is>
          <t xml:space="preserve"> H21:  =IF(F21&gt;E21,"preference","convert to common")</t>
        </is>
      </c>
    </row>
    <row r="51">
      <c r="B51" s="6" t="inlineStr">
        <is>
          <t>1x participating payout</t>
        </is>
      </c>
      <c r="D51" s="36">
        <f>I21</f>
        <v/>
      </c>
      <c r="E51" s="2" t="inlineStr">
        <is>
          <t xml:space="preserve"> I21:  =MIN(F21,D21)+MAX(D21-F21,0)*$D$7</t>
        </is>
      </c>
    </row>
    <row r="52">
      <c r="B52" s="2" t="inlineStr">
        <is>
          <t>D7 is the 16.67% ownership, D10 the $100.0 preference, and D21 the $270.0 Bear equity value.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Wall Street Guide</dc:creator>
  <dc:title xmlns:dc="http://purl.org/dc/elements/1.1/">Harborline growth equity screen</dc:title>
  <dcterms:created xmlns:dcterms="http://purl.org/dc/terms/" xmlns:xsi="http://www.w3.org/2001/XMLSchema-instance" xsi:type="dcterms:W3CDTF">2026-10-05T18:20:37Z</dcterms:created>
  <dcterms:modified xmlns:dcterms="http://purl.org/dc/terms/" xmlns:xsi="http://www.w3.org/2001/XMLSchema-instance" xsi:type="dcterms:W3CDTF">2026-10-05T18:20:37Z</dcterms:modified>
  <cp:lastModifiedBy>Wall Street Guide</cp:lastModifiedBy>
</cp:coreProperties>
</file>